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奈川事業部" sheetId="1" state="visible" r:id="rId1"/>
    <sheet xmlns:r="http://schemas.openxmlformats.org/officeDocument/2006/relationships" name="神奈川支店" sheetId="2" state="visible" r:id="rId2"/>
    <sheet xmlns:r="http://schemas.openxmlformats.org/officeDocument/2006/relationships" name="川崎支店" sheetId="3" state="visible" r:id="rId3"/>
    <sheet xmlns:r="http://schemas.openxmlformats.org/officeDocument/2006/relationships" name="神奈川西支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;&quot;-&quot;"/>
  </numFmts>
  <fonts count="3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2451</v>
      </c>
      <c r="E5" s="3" t="n">
        <v>2480</v>
      </c>
      <c r="F5" s="3" t="n">
        <v>2715</v>
      </c>
      <c r="G5" s="3" t="n">
        <v>2685</v>
      </c>
      <c r="H5" s="3" t="n">
        <v>2303</v>
      </c>
      <c r="I5" s="3" t="n">
        <v>2386</v>
      </c>
      <c r="J5" s="3" t="n">
        <v>2769</v>
      </c>
      <c r="K5" s="3" t="n">
        <v>2207</v>
      </c>
      <c r="L5" s="3" t="n">
        <v>2337</v>
      </c>
      <c r="M5" s="3" t="n">
        <v>2369</v>
      </c>
      <c r="N5" s="3" t="n">
        <v>2443</v>
      </c>
      <c r="O5" s="3" t="n">
        <v>2795</v>
      </c>
      <c r="P5" s="3">
        <f>SUM(D5:O5)</f>
        <v/>
      </c>
    </row>
    <row r="6">
      <c r="A6" s="2" t="n"/>
      <c r="B6" s="2" t="n"/>
      <c r="C6" s="2" t="inlineStr">
        <is>
          <t>住宅用</t>
        </is>
      </c>
      <c r="D6" s="3" t="n">
        <v>283</v>
      </c>
      <c r="E6" s="3" t="n">
        <v>220</v>
      </c>
      <c r="F6" s="3" t="n">
        <v>260</v>
      </c>
      <c r="G6" s="3" t="n">
        <v>250</v>
      </c>
      <c r="H6" s="3" t="n">
        <v>212</v>
      </c>
      <c r="I6" s="3" t="n">
        <v>253</v>
      </c>
      <c r="J6" s="3" t="n">
        <v>206</v>
      </c>
      <c r="K6" s="3" t="n">
        <v>190</v>
      </c>
      <c r="L6" s="3" t="n">
        <v>181</v>
      </c>
      <c r="M6" s="3" t="n">
        <v>200</v>
      </c>
      <c r="N6" s="3" t="n">
        <v>224</v>
      </c>
      <c r="O6" s="3" t="n">
        <v>323</v>
      </c>
      <c r="P6" s="3">
        <f>SUM(D6:O6)</f>
        <v/>
      </c>
    </row>
    <row r="7">
      <c r="A7" s="4" t="n"/>
      <c r="B7" s="4" t="n"/>
      <c r="C7" s="4" t="inlineStr">
        <is>
          <t>計</t>
        </is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  <c r="H7" s="5">
        <f>SUM(H5:H6)</f>
        <v/>
      </c>
      <c r="I7" s="5">
        <f>SUM(I5:I6)</f>
        <v/>
      </c>
      <c r="J7" s="5">
        <f>SUM(J5:J6)</f>
        <v/>
      </c>
      <c r="K7" s="5">
        <f>SUM(K5:K6)</f>
        <v/>
      </c>
      <c r="L7" s="5">
        <f>SUM(L5:L6)</f>
        <v/>
      </c>
      <c r="M7" s="5">
        <f>SUM(M5:M6)</f>
        <v/>
      </c>
      <c r="N7" s="5">
        <f>SUM(N5:N6)</f>
        <v/>
      </c>
      <c r="O7" s="5">
        <f>SUM(O5:O6)</f>
        <v/>
      </c>
      <c r="P7" s="5">
        <f>SUM(D7:O7)</f>
        <v/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>
        <f>SUM(D8:O8)</f>
        <v/>
      </c>
    </row>
    <row r="9">
      <c r="A9" s="4" t="n"/>
      <c r="B9" s="4" t="inlineStr">
        <is>
          <t>計</t>
        </is>
      </c>
      <c r="C9" s="4" t="n"/>
      <c r="D9" s="5">
        <f>D7+D8</f>
        <v/>
      </c>
      <c r="E9" s="5">
        <f>E7+E8</f>
        <v/>
      </c>
      <c r="F9" s="5">
        <f>F7+F8</f>
        <v/>
      </c>
      <c r="G9" s="5">
        <f>G7+G8</f>
        <v/>
      </c>
      <c r="H9" s="5">
        <f>H7+H8</f>
        <v/>
      </c>
      <c r="I9" s="5">
        <f>I7+I8</f>
        <v/>
      </c>
      <c r="J9" s="5">
        <f>J7+J8</f>
        <v/>
      </c>
      <c r="K9" s="5">
        <f>K7+K8</f>
        <v/>
      </c>
      <c r="L9" s="5">
        <f>L7+L8</f>
        <v/>
      </c>
      <c r="M9" s="5">
        <f>M7+M8</f>
        <v/>
      </c>
      <c r="N9" s="5">
        <f>N7+N8</f>
        <v/>
      </c>
      <c r="O9" s="5">
        <f>O7+O8</f>
        <v/>
      </c>
      <c r="P9" s="5">
        <f>SUM(D9:O9)</f>
        <v/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683</v>
      </c>
      <c r="E10" s="3" t="n">
        <v>595</v>
      </c>
      <c r="F10" s="3" t="n">
        <v>754</v>
      </c>
      <c r="G10" s="3" t="n">
        <v>681</v>
      </c>
      <c r="H10" s="3" t="n">
        <v>593</v>
      </c>
      <c r="I10" s="3" t="n">
        <v>683</v>
      </c>
      <c r="J10" s="3" t="n">
        <v>688</v>
      </c>
      <c r="K10" s="3" t="n">
        <v>579</v>
      </c>
      <c r="L10" s="3" t="n">
        <v>601</v>
      </c>
      <c r="M10" s="3" t="n">
        <v>690</v>
      </c>
      <c r="N10" s="3" t="n">
        <v>705</v>
      </c>
      <c r="O10" s="3" t="n">
        <v>855</v>
      </c>
      <c r="P10" s="3">
        <f>SUM(D10:O10)</f>
        <v/>
      </c>
    </row>
    <row r="11">
      <c r="A11" s="2" t="n"/>
      <c r="B11" s="2" t="n"/>
      <c r="C11" s="2" t="inlineStr">
        <is>
          <t>住宅用</t>
        </is>
      </c>
      <c r="D11" s="3" t="n">
        <v>121</v>
      </c>
      <c r="E11" s="3" t="n">
        <v>93</v>
      </c>
      <c r="F11" s="3" t="n">
        <v>85</v>
      </c>
      <c r="G11" s="3" t="n">
        <v>135</v>
      </c>
      <c r="H11" s="3" t="n">
        <v>104</v>
      </c>
      <c r="I11" s="3" t="n">
        <v>125</v>
      </c>
      <c r="J11" s="3" t="n">
        <v>96</v>
      </c>
      <c r="K11" s="3" t="n">
        <v>78</v>
      </c>
      <c r="L11" s="3" t="n">
        <v>85</v>
      </c>
      <c r="M11" s="3" t="n">
        <v>102</v>
      </c>
      <c r="N11" s="3" t="n">
        <v>105</v>
      </c>
      <c r="O11" s="3" t="n">
        <v>108</v>
      </c>
      <c r="P11" s="3">
        <f>SUM(D11:O11)</f>
        <v/>
      </c>
    </row>
    <row r="12">
      <c r="A12" s="4" t="n"/>
      <c r="B12" s="4" t="n"/>
      <c r="C12" s="4" t="inlineStr">
        <is>
          <t>計</t>
        </is>
      </c>
      <c r="D12" s="5">
        <f>SUM(D10:D11)</f>
        <v/>
      </c>
      <c r="E12" s="5">
        <f>SUM(E10:E11)</f>
        <v/>
      </c>
      <c r="F12" s="5">
        <f>SUM(F10:F11)</f>
        <v/>
      </c>
      <c r="G12" s="5">
        <f>SUM(G10:G11)</f>
        <v/>
      </c>
      <c r="H12" s="5">
        <f>SUM(H10:H11)</f>
        <v/>
      </c>
      <c r="I12" s="5">
        <f>SUM(I10:I11)</f>
        <v/>
      </c>
      <c r="J12" s="5">
        <f>SUM(J10:J11)</f>
        <v/>
      </c>
      <c r="K12" s="5">
        <f>SUM(K10:K11)</f>
        <v/>
      </c>
      <c r="L12" s="5">
        <f>SUM(L10:L11)</f>
        <v/>
      </c>
      <c r="M12" s="5">
        <f>SUM(M10:M11)</f>
        <v/>
      </c>
      <c r="N12" s="5">
        <f>SUM(N10:N11)</f>
        <v/>
      </c>
      <c r="O12" s="5">
        <f>SUM(O10:O11)</f>
        <v/>
      </c>
      <c r="P12" s="5">
        <f>SUM(D12:O12)</f>
        <v/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>
        <f>SUM(D13:O13)</f>
        <v/>
      </c>
    </row>
    <row r="14">
      <c r="A14" s="4" t="n"/>
      <c r="B14" s="4" t="inlineStr">
        <is>
          <t>計</t>
        </is>
      </c>
      <c r="C14" s="4" t="n"/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O12+O13</f>
        <v/>
      </c>
      <c r="P14" s="5">
        <f>SUM(D14:O14)</f>
        <v/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>
        <f>D5-D10</f>
        <v/>
      </c>
      <c r="E15" s="3">
        <f>E5-E10</f>
        <v/>
      </c>
      <c r="F15" s="3">
        <f>F5-F10</f>
        <v/>
      </c>
      <c r="G15" s="3">
        <f>G5-G10</f>
        <v/>
      </c>
      <c r="H15" s="3">
        <f>H5-H10</f>
        <v/>
      </c>
      <c r="I15" s="3">
        <f>I5-I10</f>
        <v/>
      </c>
      <c r="J15" s="3">
        <f>J5-J10</f>
        <v/>
      </c>
      <c r="K15" s="3">
        <f>K5-K10</f>
        <v/>
      </c>
      <c r="L15" s="3">
        <f>L5-L10</f>
        <v/>
      </c>
      <c r="M15" s="3">
        <f>M5-M10</f>
        <v/>
      </c>
      <c r="N15" s="3">
        <f>N5-N10</f>
        <v/>
      </c>
      <c r="O15" s="3">
        <f>O5-O10</f>
        <v/>
      </c>
      <c r="P15" s="3">
        <f>SUM(D15:O15)</f>
        <v/>
      </c>
    </row>
    <row r="16">
      <c r="A16" s="2" t="n"/>
      <c r="B16" s="2" t="n"/>
      <c r="C16" s="2" t="inlineStr">
        <is>
          <t>住宅用</t>
        </is>
      </c>
      <c r="D16" s="3">
        <f>D6-D11</f>
        <v/>
      </c>
      <c r="E16" s="3">
        <f>E6-E11</f>
        <v/>
      </c>
      <c r="F16" s="3">
        <f>F6-F11</f>
        <v/>
      </c>
      <c r="G16" s="3">
        <f>G6-G11</f>
        <v/>
      </c>
      <c r="H16" s="3">
        <f>H6-H11</f>
        <v/>
      </c>
      <c r="I16" s="3">
        <f>I6-I11</f>
        <v/>
      </c>
      <c r="J16" s="3">
        <f>J6-J11</f>
        <v/>
      </c>
      <c r="K16" s="3">
        <f>K6-K11</f>
        <v/>
      </c>
      <c r="L16" s="3">
        <f>L6-L11</f>
        <v/>
      </c>
      <c r="M16" s="3">
        <f>M6-M11</f>
        <v/>
      </c>
      <c r="N16" s="3">
        <f>N6-N11</f>
        <v/>
      </c>
      <c r="O16" s="3">
        <f>O6-O11</f>
        <v/>
      </c>
      <c r="P16" s="3">
        <f>SUM(D16:O16)</f>
        <v/>
      </c>
    </row>
    <row r="17">
      <c r="A17" s="4" t="n"/>
      <c r="B17" s="4" t="n"/>
      <c r="C17" s="4" t="inlineStr">
        <is>
          <t>計</t>
        </is>
      </c>
      <c r="D17" s="5">
        <f>SUM(D15:D16)</f>
        <v/>
      </c>
      <c r="E17" s="5">
        <f>SUM(E15:E16)</f>
        <v/>
      </c>
      <c r="F17" s="5">
        <f>SUM(F15:F16)</f>
        <v/>
      </c>
      <c r="G17" s="5">
        <f>SUM(G15:G16)</f>
        <v/>
      </c>
      <c r="H17" s="5">
        <f>SUM(H15:H16)</f>
        <v/>
      </c>
      <c r="I17" s="5">
        <f>SUM(I15:I16)</f>
        <v/>
      </c>
      <c r="J17" s="5">
        <f>SUM(J15:J16)</f>
        <v/>
      </c>
      <c r="K17" s="5">
        <f>SUM(K15:K16)</f>
        <v/>
      </c>
      <c r="L17" s="5">
        <f>SUM(L15:L16)</f>
        <v/>
      </c>
      <c r="M17" s="5">
        <f>SUM(M15:M16)</f>
        <v/>
      </c>
      <c r="N17" s="5">
        <f>SUM(N15:N16)</f>
        <v/>
      </c>
      <c r="O17" s="5">
        <f>SUM(O15:O16)</f>
        <v/>
      </c>
      <c r="P17" s="5">
        <f>SUM(D17:O17)</f>
        <v/>
      </c>
    </row>
    <row r="18">
      <c r="A18" s="2" t="n"/>
      <c r="B18" s="2" t="inlineStr">
        <is>
          <t>学校向け</t>
        </is>
      </c>
      <c r="C18" s="2" t="n"/>
      <c r="D18" s="3">
        <f>D8-D13</f>
        <v/>
      </c>
      <c r="E18" s="3">
        <f>E8-E13</f>
        <v/>
      </c>
      <c r="F18" s="3">
        <f>F8-F13</f>
        <v/>
      </c>
      <c r="G18" s="3">
        <f>G8-G13</f>
        <v/>
      </c>
      <c r="H18" s="3">
        <f>H8-H13</f>
        <v/>
      </c>
      <c r="I18" s="3">
        <f>I8-I13</f>
        <v/>
      </c>
      <c r="J18" s="3">
        <f>J8-J13</f>
        <v/>
      </c>
      <c r="K18" s="3">
        <f>K8-K13</f>
        <v/>
      </c>
      <c r="L18" s="3">
        <f>L8-L13</f>
        <v/>
      </c>
      <c r="M18" s="3">
        <f>M8-M13</f>
        <v/>
      </c>
      <c r="N18" s="3">
        <f>N8-N13</f>
        <v/>
      </c>
      <c r="O18" s="3">
        <f>O8-O13</f>
        <v/>
      </c>
      <c r="P18" s="3">
        <f>SUM(D18:O18)</f>
        <v/>
      </c>
    </row>
    <row r="19">
      <c r="A19" s="4" t="n"/>
      <c r="B19" s="4" t="inlineStr">
        <is>
          <t>計</t>
        </is>
      </c>
      <c r="C19" s="4" t="n"/>
      <c r="D19" s="5">
        <f>D17+D18</f>
        <v/>
      </c>
      <c r="E19" s="5">
        <f>E17+E18</f>
        <v/>
      </c>
      <c r="F19" s="5">
        <f>F17+F18</f>
        <v/>
      </c>
      <c r="G19" s="5">
        <f>G17+G18</f>
        <v/>
      </c>
      <c r="H19" s="5">
        <f>H17+H18</f>
        <v/>
      </c>
      <c r="I19" s="5">
        <f>I17+I18</f>
        <v/>
      </c>
      <c r="J19" s="5">
        <f>J17+J18</f>
        <v/>
      </c>
      <c r="K19" s="5">
        <f>K17+K18</f>
        <v/>
      </c>
      <c r="L19" s="5">
        <f>L17+L18</f>
        <v/>
      </c>
      <c r="M19" s="5">
        <f>M17+M18</f>
        <v/>
      </c>
      <c r="N19" s="5">
        <f>N17+N18</f>
        <v/>
      </c>
      <c r="O19" s="5">
        <f>O17+O18</f>
        <v/>
      </c>
      <c r="P19" s="5">
        <f>SUM(D19:O19)</f>
        <v/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2123</v>
      </c>
      <c r="E20" s="3" t="n">
        <v>1920</v>
      </c>
      <c r="F20" s="3" t="n">
        <v>2011</v>
      </c>
      <c r="G20" s="3" t="n">
        <v>2089</v>
      </c>
      <c r="H20" s="3" t="n">
        <v>1803</v>
      </c>
      <c r="I20" s="3" t="n">
        <v>1913</v>
      </c>
      <c r="J20" s="3" t="n">
        <v>1973</v>
      </c>
      <c r="K20" s="3" t="n">
        <v>1803</v>
      </c>
      <c r="L20" s="3" t="n">
        <v>1956</v>
      </c>
      <c r="M20" s="3" t="n">
        <v>1792</v>
      </c>
      <c r="N20" s="3" t="n">
        <v>1836</v>
      </c>
      <c r="O20" s="3" t="n">
        <v>2482</v>
      </c>
      <c r="P20" s="3">
        <f>SUM(D20:O20)</f>
        <v/>
      </c>
    </row>
    <row r="21">
      <c r="A21" s="2" t="n"/>
      <c r="B21" s="2" t="n"/>
      <c r="C21" s="2" t="inlineStr">
        <is>
          <t>住宅用</t>
        </is>
      </c>
      <c r="D21" s="3" t="n">
        <v>359</v>
      </c>
      <c r="E21" s="3" t="n">
        <v>251</v>
      </c>
      <c r="F21" s="3" t="n">
        <v>262</v>
      </c>
      <c r="G21" s="3" t="n">
        <v>238</v>
      </c>
      <c r="H21" s="3" t="n">
        <v>213</v>
      </c>
      <c r="I21" s="3" t="n">
        <v>225</v>
      </c>
      <c r="J21" s="3" t="n">
        <v>209</v>
      </c>
      <c r="K21" s="3" t="n">
        <v>184</v>
      </c>
      <c r="L21" s="3" t="n">
        <v>199</v>
      </c>
      <c r="M21" s="3" t="n">
        <v>173</v>
      </c>
      <c r="N21" s="3" t="n">
        <v>183</v>
      </c>
      <c r="O21" s="3" t="n">
        <v>249</v>
      </c>
      <c r="P21" s="3">
        <f>SUM(D21:O21)</f>
        <v/>
      </c>
    </row>
    <row r="22">
      <c r="A22" s="4" t="n"/>
      <c r="B22" s="4" t="n"/>
      <c r="C22" s="4" t="inlineStr">
        <is>
          <t>計</t>
        </is>
      </c>
      <c r="D22" s="5">
        <f>SUM(D20:D21)</f>
        <v/>
      </c>
      <c r="E22" s="5">
        <f>SUM(E20:E21)</f>
        <v/>
      </c>
      <c r="F22" s="5">
        <f>SUM(F20:F21)</f>
        <v/>
      </c>
      <c r="G22" s="5">
        <f>SUM(G20:G21)</f>
        <v/>
      </c>
      <c r="H22" s="5">
        <f>SUM(H20:H21)</f>
        <v/>
      </c>
      <c r="I22" s="5">
        <f>SUM(I20:I21)</f>
        <v/>
      </c>
      <c r="J22" s="5">
        <f>SUM(J20:J21)</f>
        <v/>
      </c>
      <c r="K22" s="5">
        <f>SUM(K20:K21)</f>
        <v/>
      </c>
      <c r="L22" s="5">
        <f>SUM(L20:L21)</f>
        <v/>
      </c>
      <c r="M22" s="5">
        <f>SUM(M20:M21)</f>
        <v/>
      </c>
      <c r="N22" s="5">
        <f>SUM(N20:N21)</f>
        <v/>
      </c>
      <c r="O22" s="5">
        <f>SUM(O20:O21)</f>
        <v/>
      </c>
      <c r="P22" s="5">
        <f>SUM(D22:O22)</f>
        <v/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1</v>
      </c>
      <c r="F23" s="3" t="n">
        <v>0</v>
      </c>
      <c r="G23" s="3" t="n">
        <v>15</v>
      </c>
      <c r="H23" s="3" t="n">
        <v>14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3</v>
      </c>
      <c r="N23" s="3" t="n">
        <v>2</v>
      </c>
      <c r="O23" s="3" t="n">
        <v>5</v>
      </c>
      <c r="P23" s="3">
        <f>SUM(D23:O23)</f>
        <v/>
      </c>
    </row>
    <row r="24">
      <c r="A24" s="4" t="n"/>
      <c r="B24" s="4" t="inlineStr">
        <is>
          <t>計</t>
        </is>
      </c>
      <c r="C24" s="4" t="n"/>
      <c r="D24" s="5">
        <f>D22+D23</f>
        <v/>
      </c>
      <c r="E24" s="5">
        <f>E22+E23</f>
        <v/>
      </c>
      <c r="F24" s="5">
        <f>F22+F23</f>
        <v/>
      </c>
      <c r="G24" s="5">
        <f>G22+G23</f>
        <v/>
      </c>
      <c r="H24" s="5">
        <f>H22+H23</f>
        <v/>
      </c>
      <c r="I24" s="5">
        <f>I22+I23</f>
        <v/>
      </c>
      <c r="J24" s="5">
        <f>J22+J23</f>
        <v/>
      </c>
      <c r="K24" s="5">
        <f>K22+K23</f>
        <v/>
      </c>
      <c r="L24" s="5">
        <f>L22+L23</f>
        <v/>
      </c>
      <c r="M24" s="5">
        <f>M22+M23</f>
        <v/>
      </c>
      <c r="N24" s="5">
        <f>N22+N23</f>
        <v/>
      </c>
      <c r="O24" s="5">
        <f>O22+O23</f>
        <v/>
      </c>
      <c r="P24" s="5">
        <f>SUM(D24:O24)</f>
        <v/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2540</v>
      </c>
      <c r="E25" s="3" t="n">
        <v>2027</v>
      </c>
      <c r="F25" s="3" t="n">
        <v>1950</v>
      </c>
      <c r="G25" s="3" t="n">
        <v>2334</v>
      </c>
      <c r="H25" s="3" t="n">
        <v>2225</v>
      </c>
      <c r="I25" s="3" t="n">
        <v>2298</v>
      </c>
      <c r="J25" s="3" t="n">
        <v>2562</v>
      </c>
      <c r="K25" s="3" t="n">
        <v>2021</v>
      </c>
      <c r="L25" s="3" t="n">
        <v>2386</v>
      </c>
      <c r="M25" s="3" t="n">
        <v>2342</v>
      </c>
      <c r="N25" s="3" t="n">
        <v>2180</v>
      </c>
      <c r="O25" s="3" t="n">
        <v>2917</v>
      </c>
      <c r="P25" s="3">
        <f>SUM(D25:O25)</f>
        <v/>
      </c>
    </row>
    <row r="26">
      <c r="A26" s="2" t="n"/>
      <c r="B26" s="2" t="n"/>
      <c r="C26" s="2" t="inlineStr">
        <is>
          <t>住宅用</t>
        </is>
      </c>
      <c r="D26" s="3" t="n">
        <v>1464</v>
      </c>
      <c r="E26" s="3" t="n">
        <v>1306</v>
      </c>
      <c r="F26" s="3" t="n">
        <v>1377</v>
      </c>
      <c r="G26" s="3" t="n">
        <v>1258</v>
      </c>
      <c r="H26" s="3" t="n">
        <v>1201</v>
      </c>
      <c r="I26" s="3" t="n">
        <v>1318</v>
      </c>
      <c r="J26" s="3" t="n">
        <v>1297</v>
      </c>
      <c r="K26" s="3" t="n">
        <v>1207</v>
      </c>
      <c r="L26" s="3" t="n">
        <v>1273</v>
      </c>
      <c r="M26" s="3" t="n">
        <v>1435</v>
      </c>
      <c r="N26" s="3" t="n">
        <v>1429</v>
      </c>
      <c r="O26" s="3" t="n">
        <v>1519</v>
      </c>
      <c r="P26" s="3">
        <f>SUM(D26:O26)</f>
        <v/>
      </c>
    </row>
    <row r="27">
      <c r="A27" s="4" t="n"/>
      <c r="B27" s="4" t="n"/>
      <c r="C27" s="4" t="inlineStr">
        <is>
          <t>計</t>
        </is>
      </c>
      <c r="D27" s="5">
        <f>SUM(D25:D26)</f>
        <v/>
      </c>
      <c r="E27" s="5">
        <f>SUM(E25:E26)</f>
        <v/>
      </c>
      <c r="F27" s="5">
        <f>SUM(F25:F26)</f>
        <v/>
      </c>
      <c r="G27" s="5">
        <f>SUM(G25:G26)</f>
        <v/>
      </c>
      <c r="H27" s="5">
        <f>SUM(H25:H26)</f>
        <v/>
      </c>
      <c r="I27" s="5">
        <f>SUM(I25:I26)</f>
        <v/>
      </c>
      <c r="J27" s="5">
        <f>SUM(J25:J26)</f>
        <v/>
      </c>
      <c r="K27" s="5">
        <f>SUM(K25:K26)</f>
        <v/>
      </c>
      <c r="L27" s="5">
        <f>SUM(L25:L26)</f>
        <v/>
      </c>
      <c r="M27" s="5">
        <f>SUM(M25:M26)</f>
        <v/>
      </c>
      <c r="N27" s="5">
        <f>SUM(N25:N26)</f>
        <v/>
      </c>
      <c r="O27" s="5">
        <f>SUM(O25:O26)</f>
        <v/>
      </c>
      <c r="P27" s="5">
        <f>SUM(D27:O27)</f>
        <v/>
      </c>
    </row>
    <row r="28">
      <c r="A28" s="2" t="n"/>
      <c r="B28" s="2" t="inlineStr">
        <is>
          <t>学校向け</t>
        </is>
      </c>
      <c r="C28" s="2" t="n"/>
      <c r="D28" s="3" t="n">
        <v>4</v>
      </c>
      <c r="E28" s="3" t="n">
        <v>2</v>
      </c>
      <c r="F28" s="3" t="n">
        <v>3</v>
      </c>
      <c r="G28" s="3" t="n">
        <v>17</v>
      </c>
      <c r="H28" s="3" t="n">
        <v>14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23</v>
      </c>
      <c r="N28" s="3" t="n">
        <v>1</v>
      </c>
      <c r="O28" s="3" t="n">
        <v>7</v>
      </c>
      <c r="P28" s="3">
        <f>SUM(D28:O28)</f>
        <v/>
      </c>
    </row>
    <row r="29">
      <c r="A29" s="4" t="n"/>
      <c r="B29" s="4" t="inlineStr">
        <is>
          <t>計</t>
        </is>
      </c>
      <c r="C29" s="4" t="n"/>
      <c r="D29" s="5">
        <f>D27+D28</f>
        <v/>
      </c>
      <c r="E29" s="5">
        <f>E27+E28</f>
        <v/>
      </c>
      <c r="F29" s="5">
        <f>F27+F28</f>
        <v/>
      </c>
      <c r="G29" s="5">
        <f>G27+G28</f>
        <v/>
      </c>
      <c r="H29" s="5">
        <f>H27+H28</f>
        <v/>
      </c>
      <c r="I29" s="5">
        <f>I27+I28</f>
        <v/>
      </c>
      <c r="J29" s="5">
        <f>J27+J28</f>
        <v/>
      </c>
      <c r="K29" s="5">
        <f>K27+K28</f>
        <v/>
      </c>
      <c r="L29" s="5">
        <f>L27+L28</f>
        <v/>
      </c>
      <c r="M29" s="5">
        <f>M27+M28</f>
        <v/>
      </c>
      <c r="N29" s="5">
        <f>N27+N28</f>
        <v/>
      </c>
      <c r="O29" s="5">
        <f>O27+O28</f>
        <v/>
      </c>
      <c r="P29" s="5">
        <f>SUM(D29:O29)</f>
        <v/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>
        <f>D20-D25</f>
        <v/>
      </c>
      <c r="E30" s="3">
        <f>E20-E25</f>
        <v/>
      </c>
      <c r="F30" s="3">
        <f>F20-F25</f>
        <v/>
      </c>
      <c r="G30" s="3">
        <f>G20-G25</f>
        <v/>
      </c>
      <c r="H30" s="3">
        <f>H20-H25</f>
        <v/>
      </c>
      <c r="I30" s="3">
        <f>I20-I25</f>
        <v/>
      </c>
      <c r="J30" s="3">
        <f>J20-J25</f>
        <v/>
      </c>
      <c r="K30" s="3">
        <f>K20-K25</f>
        <v/>
      </c>
      <c r="L30" s="3">
        <f>L20-L25</f>
        <v/>
      </c>
      <c r="M30" s="3">
        <f>M20-M25</f>
        <v/>
      </c>
      <c r="N30" s="3">
        <f>N20-N25</f>
        <v/>
      </c>
      <c r="O30" s="3">
        <f>O20-O25</f>
        <v/>
      </c>
      <c r="P30" s="3">
        <f>SUM(D30:O30)</f>
        <v/>
      </c>
    </row>
    <row r="31">
      <c r="A31" s="2" t="n"/>
      <c r="B31" s="2" t="n"/>
      <c r="C31" s="2" t="inlineStr">
        <is>
          <t>住宅用</t>
        </is>
      </c>
      <c r="D31" s="3">
        <f>D21-D26</f>
        <v/>
      </c>
      <c r="E31" s="3">
        <f>E21-E26</f>
        <v/>
      </c>
      <c r="F31" s="3">
        <f>F21-F26</f>
        <v/>
      </c>
      <c r="G31" s="3">
        <f>G21-G26</f>
        <v/>
      </c>
      <c r="H31" s="3">
        <f>H21-H26</f>
        <v/>
      </c>
      <c r="I31" s="3">
        <f>I21-I26</f>
        <v/>
      </c>
      <c r="J31" s="3">
        <f>J21-J26</f>
        <v/>
      </c>
      <c r="K31" s="3">
        <f>K21-K26</f>
        <v/>
      </c>
      <c r="L31" s="3">
        <f>L21-L26</f>
        <v/>
      </c>
      <c r="M31" s="3">
        <f>M21-M26</f>
        <v/>
      </c>
      <c r="N31" s="3">
        <f>N21-N26</f>
        <v/>
      </c>
      <c r="O31" s="3">
        <f>O21-O26</f>
        <v/>
      </c>
      <c r="P31" s="3">
        <f>SUM(D31:O31)</f>
        <v/>
      </c>
    </row>
    <row r="32">
      <c r="A32" s="4" t="n"/>
      <c r="B32" s="4" t="n"/>
      <c r="C32" s="4" t="inlineStr">
        <is>
          <t>計</t>
        </is>
      </c>
      <c r="D32" s="5">
        <f>SUM(D30:D31)</f>
        <v/>
      </c>
      <c r="E32" s="5">
        <f>SUM(E30:E31)</f>
        <v/>
      </c>
      <c r="F32" s="5">
        <f>SUM(F30:F31)</f>
        <v/>
      </c>
      <c r="G32" s="5">
        <f>SUM(G30:G31)</f>
        <v/>
      </c>
      <c r="H32" s="5">
        <f>SUM(H30:H31)</f>
        <v/>
      </c>
      <c r="I32" s="5">
        <f>SUM(I30:I31)</f>
        <v/>
      </c>
      <c r="J32" s="5">
        <f>SUM(J30:J31)</f>
        <v/>
      </c>
      <c r="K32" s="5">
        <f>SUM(K30:K31)</f>
        <v/>
      </c>
      <c r="L32" s="5">
        <f>SUM(L30:L31)</f>
        <v/>
      </c>
      <c r="M32" s="5">
        <f>SUM(M30:M31)</f>
        <v/>
      </c>
      <c r="N32" s="5">
        <f>SUM(N30:N31)</f>
        <v/>
      </c>
      <c r="O32" s="5">
        <f>SUM(O30:O31)</f>
        <v/>
      </c>
      <c r="P32" s="5">
        <f>SUM(D32:O32)</f>
        <v/>
      </c>
    </row>
    <row r="33">
      <c r="A33" s="2" t="n"/>
      <c r="B33" s="2" t="inlineStr">
        <is>
          <t>学校向け</t>
        </is>
      </c>
      <c r="C33" s="2" t="n"/>
      <c r="D33" s="3">
        <f>D23-D28</f>
        <v/>
      </c>
      <c r="E33" s="3">
        <f>E23-E28</f>
        <v/>
      </c>
      <c r="F33" s="3">
        <f>F23-F28</f>
        <v/>
      </c>
      <c r="G33" s="3">
        <f>G23-G28</f>
        <v/>
      </c>
      <c r="H33" s="3">
        <f>H23-H28</f>
        <v/>
      </c>
      <c r="I33" s="3">
        <f>I23-I28</f>
        <v/>
      </c>
      <c r="J33" s="3">
        <f>J23-J28</f>
        <v/>
      </c>
      <c r="K33" s="3">
        <f>K23-K28</f>
        <v/>
      </c>
      <c r="L33" s="3">
        <f>L23-L28</f>
        <v/>
      </c>
      <c r="M33" s="3">
        <f>M23-M28</f>
        <v/>
      </c>
      <c r="N33" s="3">
        <f>N23-N28</f>
        <v/>
      </c>
      <c r="O33" s="3">
        <f>O23-O28</f>
        <v/>
      </c>
      <c r="P33" s="3">
        <f>SUM(D33:O33)</f>
        <v/>
      </c>
    </row>
    <row r="34">
      <c r="A34" s="4" t="n"/>
      <c r="B34" s="4" t="inlineStr">
        <is>
          <t>計</t>
        </is>
      </c>
      <c r="C34" s="4" t="n"/>
      <c r="D34" s="5">
        <f>D32+D33</f>
        <v/>
      </c>
      <c r="E34" s="5">
        <f>E32+E33</f>
        <v/>
      </c>
      <c r="F34" s="5">
        <f>F32+F33</f>
        <v/>
      </c>
      <c r="G34" s="5">
        <f>G32+G33</f>
        <v/>
      </c>
      <c r="H34" s="5">
        <f>H32+H33</f>
        <v/>
      </c>
      <c r="I34" s="5">
        <f>I32+I33</f>
        <v/>
      </c>
      <c r="J34" s="5">
        <f>J32+J33</f>
        <v/>
      </c>
      <c r="K34" s="5">
        <f>K32+K33</f>
        <v/>
      </c>
      <c r="L34" s="5">
        <f>L32+L33</f>
        <v/>
      </c>
      <c r="M34" s="5">
        <f>M32+M33</f>
        <v/>
      </c>
      <c r="N34" s="5">
        <f>N32+N33</f>
        <v/>
      </c>
      <c r="O34" s="5">
        <f>O32+O33</f>
        <v/>
      </c>
      <c r="P34" s="5">
        <f>SUM(D34:O34)</f>
        <v/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180665</v>
      </c>
      <c r="E35" s="3" t="n">
        <v>180480</v>
      </c>
      <c r="F35" s="3" t="n">
        <v>180461</v>
      </c>
      <c r="G35" s="3" t="n">
        <v>180137</v>
      </c>
      <c r="H35" s="3" t="n">
        <v>179660</v>
      </c>
      <c r="I35" s="3" t="n">
        <v>179227</v>
      </c>
      <c r="J35" s="3" t="n">
        <v>178591</v>
      </c>
      <c r="K35" s="3" t="n">
        <v>178338</v>
      </c>
      <c r="L35" s="3" t="n">
        <v>177881</v>
      </c>
      <c r="M35" s="3" t="n">
        <v>177278</v>
      </c>
      <c r="N35" s="3" t="n">
        <v>176894</v>
      </c>
      <c r="O35" s="3" t="n">
        <v>176423</v>
      </c>
      <c r="P35" s="3">
        <f>O35</f>
        <v/>
      </c>
    </row>
    <row r="36">
      <c r="A36" s="2" t="n"/>
      <c r="B36" s="2" t="n"/>
      <c r="C36" s="2" t="inlineStr">
        <is>
          <t>住宅用</t>
        </is>
      </c>
      <c r="D36" s="3" t="n">
        <v>137909</v>
      </c>
      <c r="E36" s="3" t="n">
        <v>136805</v>
      </c>
      <c r="F36" s="3" t="n">
        <v>135625</v>
      </c>
      <c r="G36" s="3" t="n">
        <v>134569</v>
      </c>
      <c r="H36" s="3" t="n">
        <v>133531</v>
      </c>
      <c r="I36" s="3" t="n">
        <v>132386</v>
      </c>
      <c r="J36" s="3" t="n">
        <v>131241</v>
      </c>
      <c r="K36" s="3" t="n">
        <v>130188</v>
      </c>
      <c r="L36" s="3" t="n">
        <v>129071</v>
      </c>
      <c r="M36" s="3" t="n">
        <v>127771</v>
      </c>
      <c r="N36" s="3" t="n">
        <v>126482</v>
      </c>
      <c r="O36" s="3" t="n">
        <v>125163</v>
      </c>
      <c r="P36" s="3">
        <f>O36</f>
        <v/>
      </c>
    </row>
    <row r="37">
      <c r="A37" s="4" t="n"/>
      <c r="B37" s="4" t="n"/>
      <c r="C37" s="4" t="inlineStr">
        <is>
          <t>計</t>
        </is>
      </c>
      <c r="D37" s="5">
        <f>SUM(D35:D36)</f>
        <v/>
      </c>
      <c r="E37" s="5">
        <f>SUM(E35:E36)</f>
        <v/>
      </c>
      <c r="F37" s="5">
        <f>SUM(F35:F36)</f>
        <v/>
      </c>
      <c r="G37" s="5">
        <f>SUM(G35:G36)</f>
        <v/>
      </c>
      <c r="H37" s="5">
        <f>SUM(H35:H36)</f>
        <v/>
      </c>
      <c r="I37" s="5">
        <f>SUM(I35:I36)</f>
        <v/>
      </c>
      <c r="J37" s="5">
        <f>SUM(J35:J36)</f>
        <v/>
      </c>
      <c r="K37" s="5">
        <f>SUM(K35:K36)</f>
        <v/>
      </c>
      <c r="L37" s="5">
        <f>SUM(L35:L36)</f>
        <v/>
      </c>
      <c r="M37" s="5">
        <f>SUM(M35:M36)</f>
        <v/>
      </c>
      <c r="N37" s="5">
        <f>SUM(N35:N36)</f>
        <v/>
      </c>
      <c r="O37" s="5">
        <f>SUM(O35:O36)</f>
        <v/>
      </c>
      <c r="P37" s="5">
        <f>O37</f>
        <v/>
      </c>
    </row>
    <row r="38">
      <c r="A38" s="2" t="n"/>
      <c r="B38" s="2" t="inlineStr">
        <is>
          <t>学校向け</t>
        </is>
      </c>
      <c r="C38" s="2" t="n"/>
      <c r="D38" s="3" t="n">
        <v>1115</v>
      </c>
      <c r="E38" s="3" t="n">
        <v>1113</v>
      </c>
      <c r="F38" s="3" t="n">
        <v>1110</v>
      </c>
      <c r="G38" s="3" t="n">
        <v>1102</v>
      </c>
      <c r="H38" s="3" t="n">
        <v>1095</v>
      </c>
      <c r="I38" s="3" t="n">
        <v>1093</v>
      </c>
      <c r="J38" s="3" t="n">
        <v>1092</v>
      </c>
      <c r="K38" s="3" t="n">
        <v>1090</v>
      </c>
      <c r="L38" s="3" t="n">
        <v>1088</v>
      </c>
      <c r="M38" s="3" t="n">
        <v>1068</v>
      </c>
      <c r="N38" s="3" t="n">
        <v>1069</v>
      </c>
      <c r="O38" s="3" t="n">
        <v>1065</v>
      </c>
      <c r="P38" s="3">
        <f>O38</f>
        <v/>
      </c>
    </row>
    <row r="39">
      <c r="A39" s="4" t="n"/>
      <c r="B39" s="4" t="inlineStr">
        <is>
          <t>計</t>
        </is>
      </c>
      <c r="C39" s="4" t="n"/>
      <c r="D39" s="5">
        <f>D37+D38</f>
        <v/>
      </c>
      <c r="E39" s="5">
        <f>E37+E38</f>
        <v/>
      </c>
      <c r="F39" s="5">
        <f>F37+F38</f>
        <v/>
      </c>
      <c r="G39" s="5">
        <f>G37+G38</f>
        <v/>
      </c>
      <c r="H39" s="5">
        <f>H37+H38</f>
        <v/>
      </c>
      <c r="I39" s="5">
        <f>I37+I38</f>
        <v/>
      </c>
      <c r="J39" s="5">
        <f>J37+J38</f>
        <v/>
      </c>
      <c r="K39" s="5">
        <f>K37+K38</f>
        <v/>
      </c>
      <c r="L39" s="5">
        <f>L37+L38</f>
        <v/>
      </c>
      <c r="M39" s="5">
        <f>M37+M38</f>
        <v/>
      </c>
      <c r="N39" s="5">
        <f>N37+N38</f>
        <v/>
      </c>
      <c r="O39" s="5">
        <f>O37+O38</f>
        <v/>
      </c>
      <c r="P39" s="5">
        <f>O39</f>
        <v/>
      </c>
    </row>
  </sheetData>
  <mergeCells count="28">
    <mergeCell ref="A5:A9"/>
    <mergeCell ref="B30:B32"/>
    <mergeCell ref="B15:B17"/>
    <mergeCell ref="A20:A24"/>
    <mergeCell ref="B18:C18"/>
    <mergeCell ref="B5:B7"/>
    <mergeCell ref="B39:C39"/>
    <mergeCell ref="B35:B37"/>
    <mergeCell ref="A35:A39"/>
    <mergeCell ref="B20:B22"/>
    <mergeCell ref="B23:C23"/>
    <mergeCell ref="A10:A14"/>
    <mergeCell ref="B14:C14"/>
    <mergeCell ref="B25:B27"/>
    <mergeCell ref="B8:C8"/>
    <mergeCell ref="B13:C13"/>
    <mergeCell ref="B38:C38"/>
    <mergeCell ref="B29:C29"/>
    <mergeCell ref="A30:A34"/>
    <mergeCell ref="A15:A19"/>
    <mergeCell ref="B19:C19"/>
    <mergeCell ref="B34:C34"/>
    <mergeCell ref="B28:C28"/>
    <mergeCell ref="B9:C9"/>
    <mergeCell ref="B24:C24"/>
    <mergeCell ref="B33:C33"/>
    <mergeCell ref="B10:B12"/>
    <mergeCell ref="A25:A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1321</v>
      </c>
      <c r="E5" s="3" t="n">
        <v>1272</v>
      </c>
      <c r="F5" s="3" t="n">
        <v>1340</v>
      </c>
      <c r="G5" s="3" t="n">
        <v>1380</v>
      </c>
      <c r="H5" s="3" t="n">
        <v>1065</v>
      </c>
      <c r="I5" s="3" t="n">
        <v>1224</v>
      </c>
      <c r="J5" s="3" t="n">
        <v>1327</v>
      </c>
      <c r="K5" s="3" t="n">
        <v>1150</v>
      </c>
      <c r="L5" s="3" t="n">
        <v>1188</v>
      </c>
      <c r="M5" s="3" t="n">
        <v>1254</v>
      </c>
      <c r="N5" s="3" t="n">
        <v>1223</v>
      </c>
      <c r="O5" s="3" t="n">
        <v>1355</v>
      </c>
      <c r="P5" s="3">
        <f>SUM(D5:O5)</f>
        <v/>
      </c>
    </row>
    <row r="6">
      <c r="A6" s="2" t="n"/>
      <c r="B6" s="2" t="n"/>
      <c r="C6" s="2" t="inlineStr">
        <is>
          <t>住宅用</t>
        </is>
      </c>
      <c r="D6" s="3" t="n">
        <v>132</v>
      </c>
      <c r="E6" s="3" t="n">
        <v>112</v>
      </c>
      <c r="F6" s="3" t="n">
        <v>111</v>
      </c>
      <c r="G6" s="3" t="n">
        <v>125</v>
      </c>
      <c r="H6" s="3" t="n">
        <v>116</v>
      </c>
      <c r="I6" s="3" t="n">
        <v>127</v>
      </c>
      <c r="J6" s="3" t="n">
        <v>94</v>
      </c>
      <c r="K6" s="3" t="n">
        <v>101</v>
      </c>
      <c r="L6" s="3" t="n">
        <v>81</v>
      </c>
      <c r="M6" s="3" t="n">
        <v>90</v>
      </c>
      <c r="N6" s="3" t="n">
        <v>94</v>
      </c>
      <c r="O6" s="3" t="n">
        <v>165</v>
      </c>
      <c r="P6" s="3">
        <f>SUM(D6:O6)</f>
        <v/>
      </c>
    </row>
    <row r="7">
      <c r="A7" s="4" t="n"/>
      <c r="B7" s="4" t="n"/>
      <c r="C7" s="4" t="inlineStr">
        <is>
          <t>計</t>
        </is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  <c r="H7" s="5">
        <f>SUM(H5:H6)</f>
        <v/>
      </c>
      <c r="I7" s="5">
        <f>SUM(I5:I6)</f>
        <v/>
      </c>
      <c r="J7" s="5">
        <f>SUM(J5:J6)</f>
        <v/>
      </c>
      <c r="K7" s="5">
        <f>SUM(K5:K6)</f>
        <v/>
      </c>
      <c r="L7" s="5">
        <f>SUM(L5:L6)</f>
        <v/>
      </c>
      <c r="M7" s="5">
        <f>SUM(M5:M6)</f>
        <v/>
      </c>
      <c r="N7" s="5">
        <f>SUM(N5:N6)</f>
        <v/>
      </c>
      <c r="O7" s="5">
        <f>SUM(O5:O6)</f>
        <v/>
      </c>
      <c r="P7" s="5">
        <f>SUM(D7:O7)</f>
        <v/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>
        <f>SUM(D8:O8)</f>
        <v/>
      </c>
    </row>
    <row r="9">
      <c r="A9" s="4" t="n"/>
      <c r="B9" s="4" t="inlineStr">
        <is>
          <t>計</t>
        </is>
      </c>
      <c r="C9" s="4" t="n"/>
      <c r="D9" s="5">
        <f>D7+D8</f>
        <v/>
      </c>
      <c r="E9" s="5">
        <f>E7+E8</f>
        <v/>
      </c>
      <c r="F9" s="5">
        <f>F7+F8</f>
        <v/>
      </c>
      <c r="G9" s="5">
        <f>G7+G8</f>
        <v/>
      </c>
      <c r="H9" s="5">
        <f>H7+H8</f>
        <v/>
      </c>
      <c r="I9" s="5">
        <f>I7+I8</f>
        <v/>
      </c>
      <c r="J9" s="5">
        <f>J7+J8</f>
        <v/>
      </c>
      <c r="K9" s="5">
        <f>K7+K8</f>
        <v/>
      </c>
      <c r="L9" s="5">
        <f>L7+L8</f>
        <v/>
      </c>
      <c r="M9" s="5">
        <f>M7+M8</f>
        <v/>
      </c>
      <c r="N9" s="5">
        <f>N7+N8</f>
        <v/>
      </c>
      <c r="O9" s="5">
        <f>O7+O8</f>
        <v/>
      </c>
      <c r="P9" s="5">
        <f>SUM(D9:O9)</f>
        <v/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349</v>
      </c>
      <c r="E10" s="3" t="n">
        <v>305</v>
      </c>
      <c r="F10" s="3" t="n">
        <v>343</v>
      </c>
      <c r="G10" s="3" t="n">
        <v>329</v>
      </c>
      <c r="H10" s="3" t="n">
        <v>276</v>
      </c>
      <c r="I10" s="3" t="n">
        <v>351</v>
      </c>
      <c r="J10" s="3" t="n">
        <v>347</v>
      </c>
      <c r="K10" s="3" t="n">
        <v>271</v>
      </c>
      <c r="L10" s="3" t="n">
        <v>306</v>
      </c>
      <c r="M10" s="3" t="n">
        <v>367</v>
      </c>
      <c r="N10" s="3" t="n">
        <v>396</v>
      </c>
      <c r="O10" s="3" t="n">
        <v>432</v>
      </c>
      <c r="P10" s="3">
        <f>SUM(D10:O10)</f>
        <v/>
      </c>
    </row>
    <row r="11">
      <c r="A11" s="2" t="n"/>
      <c r="B11" s="2" t="n"/>
      <c r="C11" s="2" t="inlineStr">
        <is>
          <t>住宅用</t>
        </is>
      </c>
      <c r="D11" s="3" t="n">
        <v>59</v>
      </c>
      <c r="E11" s="3" t="n">
        <v>52</v>
      </c>
      <c r="F11" s="3" t="n">
        <v>46</v>
      </c>
      <c r="G11" s="3" t="n">
        <v>44</v>
      </c>
      <c r="H11" s="3" t="n">
        <v>62</v>
      </c>
      <c r="I11" s="3" t="n">
        <v>57</v>
      </c>
      <c r="J11" s="3" t="n">
        <v>42</v>
      </c>
      <c r="K11" s="3" t="n">
        <v>41</v>
      </c>
      <c r="L11" s="3" t="n">
        <v>42</v>
      </c>
      <c r="M11" s="3" t="n">
        <v>51</v>
      </c>
      <c r="N11" s="3" t="n">
        <v>39</v>
      </c>
      <c r="O11" s="3" t="n">
        <v>51</v>
      </c>
      <c r="P11" s="3">
        <f>SUM(D11:O11)</f>
        <v/>
      </c>
    </row>
    <row r="12">
      <c r="A12" s="4" t="n"/>
      <c r="B12" s="4" t="n"/>
      <c r="C12" s="4" t="inlineStr">
        <is>
          <t>計</t>
        </is>
      </c>
      <c r="D12" s="5">
        <f>SUM(D10:D11)</f>
        <v/>
      </c>
      <c r="E12" s="5">
        <f>SUM(E10:E11)</f>
        <v/>
      </c>
      <c r="F12" s="5">
        <f>SUM(F10:F11)</f>
        <v/>
      </c>
      <c r="G12" s="5">
        <f>SUM(G10:G11)</f>
        <v/>
      </c>
      <c r="H12" s="5">
        <f>SUM(H10:H11)</f>
        <v/>
      </c>
      <c r="I12" s="5">
        <f>SUM(I10:I11)</f>
        <v/>
      </c>
      <c r="J12" s="5">
        <f>SUM(J10:J11)</f>
        <v/>
      </c>
      <c r="K12" s="5">
        <f>SUM(K10:K11)</f>
        <v/>
      </c>
      <c r="L12" s="5">
        <f>SUM(L10:L11)</f>
        <v/>
      </c>
      <c r="M12" s="5">
        <f>SUM(M10:M11)</f>
        <v/>
      </c>
      <c r="N12" s="5">
        <f>SUM(N10:N11)</f>
        <v/>
      </c>
      <c r="O12" s="5">
        <f>SUM(O10:O11)</f>
        <v/>
      </c>
      <c r="P12" s="5">
        <f>SUM(D12:O12)</f>
        <v/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>
        <f>SUM(D13:O13)</f>
        <v/>
      </c>
    </row>
    <row r="14">
      <c r="A14" s="4" t="n"/>
      <c r="B14" s="4" t="inlineStr">
        <is>
          <t>計</t>
        </is>
      </c>
      <c r="C14" s="4" t="n"/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O12+O13</f>
        <v/>
      </c>
      <c r="P14" s="5">
        <f>SUM(D14:O14)</f>
        <v/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>
        <f>D5-D10</f>
        <v/>
      </c>
      <c r="E15" s="3">
        <f>E5-E10</f>
        <v/>
      </c>
      <c r="F15" s="3">
        <f>F5-F10</f>
        <v/>
      </c>
      <c r="G15" s="3">
        <f>G5-G10</f>
        <v/>
      </c>
      <c r="H15" s="3">
        <f>H5-H10</f>
        <v/>
      </c>
      <c r="I15" s="3">
        <f>I5-I10</f>
        <v/>
      </c>
      <c r="J15" s="3">
        <f>J5-J10</f>
        <v/>
      </c>
      <c r="K15" s="3">
        <f>K5-K10</f>
        <v/>
      </c>
      <c r="L15" s="3">
        <f>L5-L10</f>
        <v/>
      </c>
      <c r="M15" s="3">
        <f>M5-M10</f>
        <v/>
      </c>
      <c r="N15" s="3">
        <f>N5-N10</f>
        <v/>
      </c>
      <c r="O15" s="3">
        <f>O5-O10</f>
        <v/>
      </c>
      <c r="P15" s="3">
        <f>SUM(D15:O15)</f>
        <v/>
      </c>
    </row>
    <row r="16">
      <c r="A16" s="2" t="n"/>
      <c r="B16" s="2" t="n"/>
      <c r="C16" s="2" t="inlineStr">
        <is>
          <t>住宅用</t>
        </is>
      </c>
      <c r="D16" s="3">
        <f>D6-D11</f>
        <v/>
      </c>
      <c r="E16" s="3">
        <f>E6-E11</f>
        <v/>
      </c>
      <c r="F16" s="3">
        <f>F6-F11</f>
        <v/>
      </c>
      <c r="G16" s="3">
        <f>G6-G11</f>
        <v/>
      </c>
      <c r="H16" s="3">
        <f>H6-H11</f>
        <v/>
      </c>
      <c r="I16" s="3">
        <f>I6-I11</f>
        <v/>
      </c>
      <c r="J16" s="3">
        <f>J6-J11</f>
        <v/>
      </c>
      <c r="K16" s="3">
        <f>K6-K11</f>
        <v/>
      </c>
      <c r="L16" s="3">
        <f>L6-L11</f>
        <v/>
      </c>
      <c r="M16" s="3">
        <f>M6-M11</f>
        <v/>
      </c>
      <c r="N16" s="3">
        <f>N6-N11</f>
        <v/>
      </c>
      <c r="O16" s="3">
        <f>O6-O11</f>
        <v/>
      </c>
      <c r="P16" s="3">
        <f>SUM(D16:O16)</f>
        <v/>
      </c>
    </row>
    <row r="17">
      <c r="A17" s="4" t="n"/>
      <c r="B17" s="4" t="n"/>
      <c r="C17" s="4" t="inlineStr">
        <is>
          <t>計</t>
        </is>
      </c>
      <c r="D17" s="5">
        <f>SUM(D15:D16)</f>
        <v/>
      </c>
      <c r="E17" s="5">
        <f>SUM(E15:E16)</f>
        <v/>
      </c>
      <c r="F17" s="5">
        <f>SUM(F15:F16)</f>
        <v/>
      </c>
      <c r="G17" s="5">
        <f>SUM(G15:G16)</f>
        <v/>
      </c>
      <c r="H17" s="5">
        <f>SUM(H15:H16)</f>
        <v/>
      </c>
      <c r="I17" s="5">
        <f>SUM(I15:I16)</f>
        <v/>
      </c>
      <c r="J17" s="5">
        <f>SUM(J15:J16)</f>
        <v/>
      </c>
      <c r="K17" s="5">
        <f>SUM(K15:K16)</f>
        <v/>
      </c>
      <c r="L17" s="5">
        <f>SUM(L15:L16)</f>
        <v/>
      </c>
      <c r="M17" s="5">
        <f>SUM(M15:M16)</f>
        <v/>
      </c>
      <c r="N17" s="5">
        <f>SUM(N15:N16)</f>
        <v/>
      </c>
      <c r="O17" s="5">
        <f>SUM(O15:O16)</f>
        <v/>
      </c>
      <c r="P17" s="5">
        <f>SUM(D17:O17)</f>
        <v/>
      </c>
    </row>
    <row r="18">
      <c r="A18" s="2" t="n"/>
      <c r="B18" s="2" t="inlineStr">
        <is>
          <t>学校向け</t>
        </is>
      </c>
      <c r="C18" s="2" t="n"/>
      <c r="D18" s="3">
        <f>D8-D13</f>
        <v/>
      </c>
      <c r="E18" s="3">
        <f>E8-E13</f>
        <v/>
      </c>
      <c r="F18" s="3">
        <f>F8-F13</f>
        <v/>
      </c>
      <c r="G18" s="3">
        <f>G8-G13</f>
        <v/>
      </c>
      <c r="H18" s="3">
        <f>H8-H13</f>
        <v/>
      </c>
      <c r="I18" s="3">
        <f>I8-I13</f>
        <v/>
      </c>
      <c r="J18" s="3">
        <f>J8-J13</f>
        <v/>
      </c>
      <c r="K18" s="3">
        <f>K8-K13</f>
        <v/>
      </c>
      <c r="L18" s="3">
        <f>L8-L13</f>
        <v/>
      </c>
      <c r="M18" s="3">
        <f>M8-M13</f>
        <v/>
      </c>
      <c r="N18" s="3">
        <f>N8-N13</f>
        <v/>
      </c>
      <c r="O18" s="3">
        <f>O8-O13</f>
        <v/>
      </c>
      <c r="P18" s="3">
        <f>SUM(D18:O18)</f>
        <v/>
      </c>
    </row>
    <row r="19">
      <c r="A19" s="4" t="n"/>
      <c r="B19" s="4" t="inlineStr">
        <is>
          <t>計</t>
        </is>
      </c>
      <c r="C19" s="4" t="n"/>
      <c r="D19" s="5">
        <f>D17+D18</f>
        <v/>
      </c>
      <c r="E19" s="5">
        <f>E17+E18</f>
        <v/>
      </c>
      <c r="F19" s="5">
        <f>F17+F18</f>
        <v/>
      </c>
      <c r="G19" s="5">
        <f>G17+G18</f>
        <v/>
      </c>
      <c r="H19" s="5">
        <f>H17+H18</f>
        <v/>
      </c>
      <c r="I19" s="5">
        <f>I17+I18</f>
        <v/>
      </c>
      <c r="J19" s="5">
        <f>J17+J18</f>
        <v/>
      </c>
      <c r="K19" s="5">
        <f>K17+K18</f>
        <v/>
      </c>
      <c r="L19" s="5">
        <f>L17+L18</f>
        <v/>
      </c>
      <c r="M19" s="5">
        <f>M17+M18</f>
        <v/>
      </c>
      <c r="N19" s="5">
        <f>N17+N18</f>
        <v/>
      </c>
      <c r="O19" s="5">
        <f>O17+O18</f>
        <v/>
      </c>
      <c r="P19" s="5">
        <f>SUM(D19:O19)</f>
        <v/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1061</v>
      </c>
      <c r="E20" s="3" t="n">
        <v>1032</v>
      </c>
      <c r="F20" s="3" t="n">
        <v>1071</v>
      </c>
      <c r="G20" s="3" t="n">
        <v>1140</v>
      </c>
      <c r="H20" s="3" t="n">
        <v>930</v>
      </c>
      <c r="I20" s="3" t="n">
        <v>986</v>
      </c>
      <c r="J20" s="3" t="n">
        <v>1000</v>
      </c>
      <c r="K20" s="3" t="n">
        <v>921</v>
      </c>
      <c r="L20" s="3" t="n">
        <v>948</v>
      </c>
      <c r="M20" s="3" t="n">
        <v>932</v>
      </c>
      <c r="N20" s="3" t="n">
        <v>943</v>
      </c>
      <c r="O20" s="3" t="n">
        <v>1281</v>
      </c>
      <c r="P20" s="3">
        <f>SUM(D20:O20)</f>
        <v/>
      </c>
    </row>
    <row r="21">
      <c r="A21" s="2" t="n"/>
      <c r="B21" s="2" t="n"/>
      <c r="C21" s="2" t="inlineStr">
        <is>
          <t>住宅用</t>
        </is>
      </c>
      <c r="D21" s="3" t="n">
        <v>190</v>
      </c>
      <c r="E21" s="3" t="n">
        <v>137</v>
      </c>
      <c r="F21" s="3" t="n">
        <v>117</v>
      </c>
      <c r="G21" s="3" t="n">
        <v>112</v>
      </c>
      <c r="H21" s="3" t="n">
        <v>114</v>
      </c>
      <c r="I21" s="3" t="n">
        <v>112</v>
      </c>
      <c r="J21" s="3" t="n">
        <v>112</v>
      </c>
      <c r="K21" s="3" t="n">
        <v>102</v>
      </c>
      <c r="L21" s="3" t="n">
        <v>115</v>
      </c>
      <c r="M21" s="3" t="n">
        <v>78</v>
      </c>
      <c r="N21" s="3" t="n">
        <v>90</v>
      </c>
      <c r="O21" s="3" t="n">
        <v>126</v>
      </c>
      <c r="P21" s="3">
        <f>SUM(D21:O21)</f>
        <v/>
      </c>
    </row>
    <row r="22">
      <c r="A22" s="4" t="n"/>
      <c r="B22" s="4" t="n"/>
      <c r="C22" s="4" t="inlineStr">
        <is>
          <t>計</t>
        </is>
      </c>
      <c r="D22" s="5">
        <f>SUM(D20:D21)</f>
        <v/>
      </c>
      <c r="E22" s="5">
        <f>SUM(E20:E21)</f>
        <v/>
      </c>
      <c r="F22" s="5">
        <f>SUM(F20:F21)</f>
        <v/>
      </c>
      <c r="G22" s="5">
        <f>SUM(G20:G21)</f>
        <v/>
      </c>
      <c r="H22" s="5">
        <f>SUM(H20:H21)</f>
        <v/>
      </c>
      <c r="I22" s="5">
        <f>SUM(I20:I21)</f>
        <v/>
      </c>
      <c r="J22" s="5">
        <f>SUM(J20:J21)</f>
        <v/>
      </c>
      <c r="K22" s="5">
        <f>SUM(K20:K21)</f>
        <v/>
      </c>
      <c r="L22" s="5">
        <f>SUM(L20:L21)</f>
        <v/>
      </c>
      <c r="M22" s="5">
        <f>SUM(M20:M21)</f>
        <v/>
      </c>
      <c r="N22" s="5">
        <f>SUM(N20:N21)</f>
        <v/>
      </c>
      <c r="O22" s="5">
        <f>SUM(O20:O21)</f>
        <v/>
      </c>
      <c r="P22" s="5">
        <f>SUM(D22:O22)</f>
        <v/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2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</v>
      </c>
      <c r="P23" s="3">
        <f>SUM(D23:O23)</f>
        <v/>
      </c>
    </row>
    <row r="24">
      <c r="A24" s="4" t="n"/>
      <c r="B24" s="4" t="inlineStr">
        <is>
          <t>計</t>
        </is>
      </c>
      <c r="C24" s="4" t="n"/>
      <c r="D24" s="5">
        <f>D22+D23</f>
        <v/>
      </c>
      <c r="E24" s="5">
        <f>E22+E23</f>
        <v/>
      </c>
      <c r="F24" s="5">
        <f>F22+F23</f>
        <v/>
      </c>
      <c r="G24" s="5">
        <f>G22+G23</f>
        <v/>
      </c>
      <c r="H24" s="5">
        <f>H22+H23</f>
        <v/>
      </c>
      <c r="I24" s="5">
        <f>I22+I23</f>
        <v/>
      </c>
      <c r="J24" s="5">
        <f>J22+J23</f>
        <v/>
      </c>
      <c r="K24" s="5">
        <f>K22+K23</f>
        <v/>
      </c>
      <c r="L24" s="5">
        <f>L22+L23</f>
        <v/>
      </c>
      <c r="M24" s="5">
        <f>M22+M23</f>
        <v/>
      </c>
      <c r="N24" s="5">
        <f>N22+N23</f>
        <v/>
      </c>
      <c r="O24" s="5">
        <f>O22+O23</f>
        <v/>
      </c>
      <c r="P24" s="5">
        <f>SUM(D24:O24)</f>
        <v/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1366</v>
      </c>
      <c r="E25" s="3" t="n">
        <v>1089</v>
      </c>
      <c r="F25" s="3" t="n">
        <v>1037</v>
      </c>
      <c r="G25" s="3" t="n">
        <v>1268</v>
      </c>
      <c r="H25" s="3" t="n">
        <v>1294</v>
      </c>
      <c r="I25" s="3" t="n">
        <v>1172</v>
      </c>
      <c r="J25" s="3" t="n">
        <v>1313</v>
      </c>
      <c r="K25" s="3" t="n">
        <v>1084</v>
      </c>
      <c r="L25" s="3" t="n">
        <v>1302</v>
      </c>
      <c r="M25" s="3" t="n">
        <v>1221</v>
      </c>
      <c r="N25" s="3" t="n">
        <v>1081</v>
      </c>
      <c r="O25" s="3" t="n">
        <v>1489</v>
      </c>
      <c r="P25" s="3">
        <f>SUM(D25:O25)</f>
        <v/>
      </c>
    </row>
    <row r="26">
      <c r="A26" s="2" t="n"/>
      <c r="B26" s="2" t="n"/>
      <c r="C26" s="2" t="inlineStr">
        <is>
          <t>住宅用</t>
        </is>
      </c>
      <c r="D26" s="3" t="n">
        <v>746</v>
      </c>
      <c r="E26" s="3" t="n">
        <v>648</v>
      </c>
      <c r="F26" s="3" t="n">
        <v>724</v>
      </c>
      <c r="G26" s="3" t="n">
        <v>651</v>
      </c>
      <c r="H26" s="3" t="n">
        <v>587</v>
      </c>
      <c r="I26" s="3" t="n">
        <v>668</v>
      </c>
      <c r="J26" s="3" t="n">
        <v>670</v>
      </c>
      <c r="K26" s="3" t="n">
        <v>618</v>
      </c>
      <c r="L26" s="3" t="n">
        <v>680</v>
      </c>
      <c r="M26" s="3" t="n">
        <v>739</v>
      </c>
      <c r="N26" s="3" t="n">
        <v>706</v>
      </c>
      <c r="O26" s="3" t="n">
        <v>753</v>
      </c>
      <c r="P26" s="3">
        <f>SUM(D26:O26)</f>
        <v/>
      </c>
    </row>
    <row r="27">
      <c r="A27" s="4" t="n"/>
      <c r="B27" s="4" t="n"/>
      <c r="C27" s="4" t="inlineStr">
        <is>
          <t>計</t>
        </is>
      </c>
      <c r="D27" s="5">
        <f>SUM(D25:D26)</f>
        <v/>
      </c>
      <c r="E27" s="5">
        <f>SUM(E25:E26)</f>
        <v/>
      </c>
      <c r="F27" s="5">
        <f>SUM(F25:F26)</f>
        <v/>
      </c>
      <c r="G27" s="5">
        <f>SUM(G25:G26)</f>
        <v/>
      </c>
      <c r="H27" s="5">
        <f>SUM(H25:H26)</f>
        <v/>
      </c>
      <c r="I27" s="5">
        <f>SUM(I25:I26)</f>
        <v/>
      </c>
      <c r="J27" s="5">
        <f>SUM(J25:J26)</f>
        <v/>
      </c>
      <c r="K27" s="5">
        <f>SUM(K25:K26)</f>
        <v/>
      </c>
      <c r="L27" s="5">
        <f>SUM(L25:L26)</f>
        <v/>
      </c>
      <c r="M27" s="5">
        <f>SUM(M25:M26)</f>
        <v/>
      </c>
      <c r="N27" s="5">
        <f>SUM(N25:N26)</f>
        <v/>
      </c>
      <c r="O27" s="5">
        <f>SUM(O25:O26)</f>
        <v/>
      </c>
      <c r="P27" s="5">
        <f>SUM(D27:O27)</f>
        <v/>
      </c>
    </row>
    <row r="28">
      <c r="A28" s="2" t="n"/>
      <c r="B28" s="2" t="inlineStr">
        <is>
          <t>学校向け</t>
        </is>
      </c>
      <c r="C28" s="2" t="n"/>
      <c r="D28" s="3" t="n">
        <v>1</v>
      </c>
      <c r="E28" s="3" t="n">
        <v>1</v>
      </c>
      <c r="F28" s="3" t="n">
        <v>1</v>
      </c>
      <c r="G28" s="3" t="n">
        <v>3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</v>
      </c>
      <c r="P28" s="3">
        <f>SUM(D28:O28)</f>
        <v/>
      </c>
    </row>
    <row r="29">
      <c r="A29" s="4" t="n"/>
      <c r="B29" s="4" t="inlineStr">
        <is>
          <t>計</t>
        </is>
      </c>
      <c r="C29" s="4" t="n"/>
      <c r="D29" s="5">
        <f>D27+D28</f>
        <v/>
      </c>
      <c r="E29" s="5">
        <f>E27+E28</f>
        <v/>
      </c>
      <c r="F29" s="5">
        <f>F27+F28</f>
        <v/>
      </c>
      <c r="G29" s="5">
        <f>G27+G28</f>
        <v/>
      </c>
      <c r="H29" s="5">
        <f>H27+H28</f>
        <v/>
      </c>
      <c r="I29" s="5">
        <f>I27+I28</f>
        <v/>
      </c>
      <c r="J29" s="5">
        <f>J27+J28</f>
        <v/>
      </c>
      <c r="K29" s="5">
        <f>K27+K28</f>
        <v/>
      </c>
      <c r="L29" s="5">
        <f>L27+L28</f>
        <v/>
      </c>
      <c r="M29" s="5">
        <f>M27+M28</f>
        <v/>
      </c>
      <c r="N29" s="5">
        <f>N27+N28</f>
        <v/>
      </c>
      <c r="O29" s="5">
        <f>O27+O28</f>
        <v/>
      </c>
      <c r="P29" s="5">
        <f>SUM(D29:O29)</f>
        <v/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>
        <f>D20-D25</f>
        <v/>
      </c>
      <c r="E30" s="3">
        <f>E20-E25</f>
        <v/>
      </c>
      <c r="F30" s="3">
        <f>F20-F25</f>
        <v/>
      </c>
      <c r="G30" s="3">
        <f>G20-G25</f>
        <v/>
      </c>
      <c r="H30" s="3">
        <f>H20-H25</f>
        <v/>
      </c>
      <c r="I30" s="3">
        <f>I20-I25</f>
        <v/>
      </c>
      <c r="J30" s="3">
        <f>J20-J25</f>
        <v/>
      </c>
      <c r="K30" s="3">
        <f>K20-K25</f>
        <v/>
      </c>
      <c r="L30" s="3">
        <f>L20-L25</f>
        <v/>
      </c>
      <c r="M30" s="3">
        <f>M20-M25</f>
        <v/>
      </c>
      <c r="N30" s="3">
        <f>N20-N25</f>
        <v/>
      </c>
      <c r="O30" s="3">
        <f>O20-O25</f>
        <v/>
      </c>
      <c r="P30" s="3">
        <f>SUM(D30:O30)</f>
        <v/>
      </c>
    </row>
    <row r="31">
      <c r="A31" s="2" t="n"/>
      <c r="B31" s="2" t="n"/>
      <c r="C31" s="2" t="inlineStr">
        <is>
          <t>住宅用</t>
        </is>
      </c>
      <c r="D31" s="3">
        <f>D21-D26</f>
        <v/>
      </c>
      <c r="E31" s="3">
        <f>E21-E26</f>
        <v/>
      </c>
      <c r="F31" s="3">
        <f>F21-F26</f>
        <v/>
      </c>
      <c r="G31" s="3">
        <f>G21-G26</f>
        <v/>
      </c>
      <c r="H31" s="3">
        <f>H21-H26</f>
        <v/>
      </c>
      <c r="I31" s="3">
        <f>I21-I26</f>
        <v/>
      </c>
      <c r="J31" s="3">
        <f>J21-J26</f>
        <v/>
      </c>
      <c r="K31" s="3">
        <f>K21-K26</f>
        <v/>
      </c>
      <c r="L31" s="3">
        <f>L21-L26</f>
        <v/>
      </c>
      <c r="M31" s="3">
        <f>M21-M26</f>
        <v/>
      </c>
      <c r="N31" s="3">
        <f>N21-N26</f>
        <v/>
      </c>
      <c r="O31" s="3">
        <f>O21-O26</f>
        <v/>
      </c>
      <c r="P31" s="3">
        <f>SUM(D31:O31)</f>
        <v/>
      </c>
    </row>
    <row r="32">
      <c r="A32" s="4" t="n"/>
      <c r="B32" s="4" t="n"/>
      <c r="C32" s="4" t="inlineStr">
        <is>
          <t>計</t>
        </is>
      </c>
      <c r="D32" s="5">
        <f>SUM(D30:D31)</f>
        <v/>
      </c>
      <c r="E32" s="5">
        <f>SUM(E30:E31)</f>
        <v/>
      </c>
      <c r="F32" s="5">
        <f>SUM(F30:F31)</f>
        <v/>
      </c>
      <c r="G32" s="5">
        <f>SUM(G30:G31)</f>
        <v/>
      </c>
      <c r="H32" s="5">
        <f>SUM(H30:H31)</f>
        <v/>
      </c>
      <c r="I32" s="5">
        <f>SUM(I30:I31)</f>
        <v/>
      </c>
      <c r="J32" s="5">
        <f>SUM(J30:J31)</f>
        <v/>
      </c>
      <c r="K32" s="5">
        <f>SUM(K30:K31)</f>
        <v/>
      </c>
      <c r="L32" s="5">
        <f>SUM(L30:L31)</f>
        <v/>
      </c>
      <c r="M32" s="5">
        <f>SUM(M30:M31)</f>
        <v/>
      </c>
      <c r="N32" s="5">
        <f>SUM(N30:N31)</f>
        <v/>
      </c>
      <c r="O32" s="5">
        <f>SUM(O30:O31)</f>
        <v/>
      </c>
      <c r="P32" s="5">
        <f>SUM(D32:O32)</f>
        <v/>
      </c>
    </row>
    <row r="33">
      <c r="A33" s="2" t="n"/>
      <c r="B33" s="2" t="inlineStr">
        <is>
          <t>学校向け</t>
        </is>
      </c>
      <c r="C33" s="2" t="n"/>
      <c r="D33" s="3">
        <f>D23-D28</f>
        <v/>
      </c>
      <c r="E33" s="3">
        <f>E23-E28</f>
        <v/>
      </c>
      <c r="F33" s="3">
        <f>F23-F28</f>
        <v/>
      </c>
      <c r="G33" s="3">
        <f>G23-G28</f>
        <v/>
      </c>
      <c r="H33" s="3">
        <f>H23-H28</f>
        <v/>
      </c>
      <c r="I33" s="3">
        <f>I23-I28</f>
        <v/>
      </c>
      <c r="J33" s="3">
        <f>J23-J28</f>
        <v/>
      </c>
      <c r="K33" s="3">
        <f>K23-K28</f>
        <v/>
      </c>
      <c r="L33" s="3">
        <f>L23-L28</f>
        <v/>
      </c>
      <c r="M33" s="3">
        <f>M23-M28</f>
        <v/>
      </c>
      <c r="N33" s="3">
        <f>N23-N28</f>
        <v/>
      </c>
      <c r="O33" s="3">
        <f>O23-O28</f>
        <v/>
      </c>
      <c r="P33" s="3">
        <f>SUM(D33:O33)</f>
        <v/>
      </c>
    </row>
    <row r="34">
      <c r="A34" s="4" t="n"/>
      <c r="B34" s="4" t="inlineStr">
        <is>
          <t>計</t>
        </is>
      </c>
      <c r="C34" s="4" t="n"/>
      <c r="D34" s="5">
        <f>D32+D33</f>
        <v/>
      </c>
      <c r="E34" s="5">
        <f>E32+E33</f>
        <v/>
      </c>
      <c r="F34" s="5">
        <f>F32+F33</f>
        <v/>
      </c>
      <c r="G34" s="5">
        <f>G32+G33</f>
        <v/>
      </c>
      <c r="H34" s="5">
        <f>H32+H33</f>
        <v/>
      </c>
      <c r="I34" s="5">
        <f>I32+I33</f>
        <v/>
      </c>
      <c r="J34" s="5">
        <f>J32+J33</f>
        <v/>
      </c>
      <c r="K34" s="5">
        <f>K32+K33</f>
        <v/>
      </c>
      <c r="L34" s="5">
        <f>L32+L33</f>
        <v/>
      </c>
      <c r="M34" s="5">
        <f>M32+M33</f>
        <v/>
      </c>
      <c r="N34" s="5">
        <f>N32+N33</f>
        <v/>
      </c>
      <c r="O34" s="5">
        <f>O32+O33</f>
        <v/>
      </c>
      <c r="P34" s="5">
        <f>SUM(D34:O34)</f>
        <v/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93580</v>
      </c>
      <c r="E35" s="3" t="n">
        <v>93492</v>
      </c>
      <c r="F35" s="3" t="n">
        <v>93488</v>
      </c>
      <c r="G35" s="3" t="n">
        <v>93328</v>
      </c>
      <c r="H35" s="3" t="n">
        <v>92938</v>
      </c>
      <c r="I35" s="3" t="n">
        <v>92733</v>
      </c>
      <c r="J35" s="3" t="n">
        <v>92398</v>
      </c>
      <c r="K35" s="3" t="n">
        <v>92225</v>
      </c>
      <c r="L35" s="3" t="n">
        <v>91856</v>
      </c>
      <c r="M35" s="3" t="n">
        <v>91547</v>
      </c>
      <c r="N35" s="3" t="n">
        <v>91389</v>
      </c>
      <c r="O35" s="3" t="n">
        <v>91164</v>
      </c>
      <c r="P35" s="3">
        <f>O35</f>
        <v/>
      </c>
    </row>
    <row r="36">
      <c r="A36" s="2" t="n"/>
      <c r="B36" s="2" t="n"/>
      <c r="C36" s="2" t="inlineStr">
        <is>
          <t>住宅用</t>
        </is>
      </c>
      <c r="D36" s="3" t="n">
        <v>71284</v>
      </c>
      <c r="E36" s="3" t="n">
        <v>70743</v>
      </c>
      <c r="F36" s="3" t="n">
        <v>70096</v>
      </c>
      <c r="G36" s="3" t="n">
        <v>69539</v>
      </c>
      <c r="H36" s="3" t="n">
        <v>69038</v>
      </c>
      <c r="I36" s="3" t="n">
        <v>68456</v>
      </c>
      <c r="J36" s="3" t="n">
        <v>67876</v>
      </c>
      <c r="K36" s="3" t="n">
        <v>67343</v>
      </c>
      <c r="L36" s="3" t="n">
        <v>66760</v>
      </c>
      <c r="M36" s="3" t="n">
        <v>66084</v>
      </c>
      <c r="N36" s="3" t="n">
        <v>65443</v>
      </c>
      <c r="O36" s="3" t="n">
        <v>64788</v>
      </c>
      <c r="P36" s="3">
        <f>O36</f>
        <v/>
      </c>
    </row>
    <row r="37">
      <c r="A37" s="4" t="n"/>
      <c r="B37" s="4" t="n"/>
      <c r="C37" s="4" t="inlineStr">
        <is>
          <t>計</t>
        </is>
      </c>
      <c r="D37" s="5">
        <f>SUM(D35:D36)</f>
        <v/>
      </c>
      <c r="E37" s="5">
        <f>SUM(E35:E36)</f>
        <v/>
      </c>
      <c r="F37" s="5">
        <f>SUM(F35:F36)</f>
        <v/>
      </c>
      <c r="G37" s="5">
        <f>SUM(G35:G36)</f>
        <v/>
      </c>
      <c r="H37" s="5">
        <f>SUM(H35:H36)</f>
        <v/>
      </c>
      <c r="I37" s="5">
        <f>SUM(I35:I36)</f>
        <v/>
      </c>
      <c r="J37" s="5">
        <f>SUM(J35:J36)</f>
        <v/>
      </c>
      <c r="K37" s="5">
        <f>SUM(K35:K36)</f>
        <v/>
      </c>
      <c r="L37" s="5">
        <f>SUM(L35:L36)</f>
        <v/>
      </c>
      <c r="M37" s="5">
        <f>SUM(M35:M36)</f>
        <v/>
      </c>
      <c r="N37" s="5">
        <f>SUM(N35:N36)</f>
        <v/>
      </c>
      <c r="O37" s="5">
        <f>SUM(O35:O36)</f>
        <v/>
      </c>
      <c r="P37" s="5">
        <f>O37</f>
        <v/>
      </c>
    </row>
    <row r="38">
      <c r="A38" s="2" t="n"/>
      <c r="B38" s="2" t="inlineStr">
        <is>
          <t>学校向け</t>
        </is>
      </c>
      <c r="C38" s="2" t="n"/>
      <c r="D38" s="3" t="n">
        <v>292</v>
      </c>
      <c r="E38" s="3" t="n">
        <v>290</v>
      </c>
      <c r="F38" s="3" t="n">
        <v>289</v>
      </c>
      <c r="G38" s="3" t="n">
        <v>284</v>
      </c>
      <c r="H38" s="3" t="n">
        <v>277</v>
      </c>
      <c r="I38" s="3" t="n">
        <v>276</v>
      </c>
      <c r="J38" s="3" t="n">
        <v>275</v>
      </c>
      <c r="K38" s="3" t="n">
        <v>273</v>
      </c>
      <c r="L38" s="3" t="n">
        <v>271</v>
      </c>
      <c r="M38" s="3" t="n">
        <v>271</v>
      </c>
      <c r="N38" s="3" t="n">
        <v>271</v>
      </c>
      <c r="O38" s="3" t="n">
        <v>268</v>
      </c>
      <c r="P38" s="3">
        <f>O38</f>
        <v/>
      </c>
    </row>
    <row r="39">
      <c r="A39" s="4" t="n"/>
      <c r="B39" s="4" t="inlineStr">
        <is>
          <t>計</t>
        </is>
      </c>
      <c r="C39" s="4" t="n"/>
      <c r="D39" s="5">
        <f>D37+D38</f>
        <v/>
      </c>
      <c r="E39" s="5">
        <f>E37+E38</f>
        <v/>
      </c>
      <c r="F39" s="5">
        <f>F37+F38</f>
        <v/>
      </c>
      <c r="G39" s="5">
        <f>G37+G38</f>
        <v/>
      </c>
      <c r="H39" s="5">
        <f>H37+H38</f>
        <v/>
      </c>
      <c r="I39" s="5">
        <f>I37+I38</f>
        <v/>
      </c>
      <c r="J39" s="5">
        <f>J37+J38</f>
        <v/>
      </c>
      <c r="K39" s="5">
        <f>K37+K38</f>
        <v/>
      </c>
      <c r="L39" s="5">
        <f>L37+L38</f>
        <v/>
      </c>
      <c r="M39" s="5">
        <f>M37+M38</f>
        <v/>
      </c>
      <c r="N39" s="5">
        <f>N37+N38</f>
        <v/>
      </c>
      <c r="O39" s="5">
        <f>O37+O38</f>
        <v/>
      </c>
      <c r="P39" s="5">
        <f>O39</f>
        <v/>
      </c>
    </row>
  </sheetData>
  <mergeCells count="28">
    <mergeCell ref="A5:A9"/>
    <mergeCell ref="B30:B32"/>
    <mergeCell ref="B15:B17"/>
    <mergeCell ref="A20:A24"/>
    <mergeCell ref="B18:C18"/>
    <mergeCell ref="B5:B7"/>
    <mergeCell ref="B39:C39"/>
    <mergeCell ref="B35:B37"/>
    <mergeCell ref="A35:A39"/>
    <mergeCell ref="B20:B22"/>
    <mergeCell ref="B23:C23"/>
    <mergeCell ref="A10:A14"/>
    <mergeCell ref="B14:C14"/>
    <mergeCell ref="B25:B27"/>
    <mergeCell ref="B8:C8"/>
    <mergeCell ref="B13:C13"/>
    <mergeCell ref="B38:C38"/>
    <mergeCell ref="B29:C29"/>
    <mergeCell ref="A30:A34"/>
    <mergeCell ref="A15:A19"/>
    <mergeCell ref="B19:C19"/>
    <mergeCell ref="B34:C34"/>
    <mergeCell ref="B28:C28"/>
    <mergeCell ref="B9:C9"/>
    <mergeCell ref="B24:C24"/>
    <mergeCell ref="B33:C33"/>
    <mergeCell ref="B10:B12"/>
    <mergeCell ref="A25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450</v>
      </c>
      <c r="E5" s="3" t="n">
        <v>533</v>
      </c>
      <c r="F5" s="3" t="n">
        <v>518</v>
      </c>
      <c r="G5" s="3" t="n">
        <v>548</v>
      </c>
      <c r="H5" s="3" t="n">
        <v>578</v>
      </c>
      <c r="I5" s="3" t="n">
        <v>485</v>
      </c>
      <c r="J5" s="3" t="n">
        <v>515</v>
      </c>
      <c r="K5" s="3" t="n">
        <v>461</v>
      </c>
      <c r="L5" s="3" t="n">
        <v>499</v>
      </c>
      <c r="M5" s="3" t="n">
        <v>453</v>
      </c>
      <c r="N5" s="3" t="n">
        <v>516</v>
      </c>
      <c r="O5" s="3" t="n">
        <v>589</v>
      </c>
      <c r="P5" s="3">
        <f>SUM(D5:O5)</f>
        <v/>
      </c>
    </row>
    <row r="6">
      <c r="A6" s="2" t="n"/>
      <c r="B6" s="2" t="n"/>
      <c r="C6" s="2" t="inlineStr">
        <is>
          <t>住宅用</t>
        </is>
      </c>
      <c r="D6" s="3" t="n">
        <v>70</v>
      </c>
      <c r="E6" s="3" t="n">
        <v>63</v>
      </c>
      <c r="F6" s="3" t="n">
        <v>97</v>
      </c>
      <c r="G6" s="3" t="n">
        <v>49</v>
      </c>
      <c r="H6" s="3" t="n">
        <v>47</v>
      </c>
      <c r="I6" s="3" t="n">
        <v>61</v>
      </c>
      <c r="J6" s="3" t="n">
        <v>46</v>
      </c>
      <c r="K6" s="3" t="n">
        <v>36</v>
      </c>
      <c r="L6" s="3" t="n">
        <v>47</v>
      </c>
      <c r="M6" s="3" t="n">
        <v>43</v>
      </c>
      <c r="N6" s="3" t="n">
        <v>76</v>
      </c>
      <c r="O6" s="3" t="n">
        <v>68</v>
      </c>
      <c r="P6" s="3">
        <f>SUM(D6:O6)</f>
        <v/>
      </c>
    </row>
    <row r="7">
      <c r="A7" s="4" t="n"/>
      <c r="B7" s="4" t="n"/>
      <c r="C7" s="4" t="inlineStr">
        <is>
          <t>計</t>
        </is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  <c r="H7" s="5">
        <f>SUM(H5:H6)</f>
        <v/>
      </c>
      <c r="I7" s="5">
        <f>SUM(I5:I6)</f>
        <v/>
      </c>
      <c r="J7" s="5">
        <f>SUM(J5:J6)</f>
        <v/>
      </c>
      <c r="K7" s="5">
        <f>SUM(K5:K6)</f>
        <v/>
      </c>
      <c r="L7" s="5">
        <f>SUM(L5:L6)</f>
        <v/>
      </c>
      <c r="M7" s="5">
        <f>SUM(M5:M6)</f>
        <v/>
      </c>
      <c r="N7" s="5">
        <f>SUM(N5:N6)</f>
        <v/>
      </c>
      <c r="O7" s="5">
        <f>SUM(O5:O6)</f>
        <v/>
      </c>
      <c r="P7" s="5">
        <f>SUM(D7:O7)</f>
        <v/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>
        <f>SUM(D8:O8)</f>
        <v/>
      </c>
    </row>
    <row r="9">
      <c r="A9" s="4" t="n"/>
      <c r="B9" s="4" t="inlineStr">
        <is>
          <t>計</t>
        </is>
      </c>
      <c r="C9" s="4" t="n"/>
      <c r="D9" s="5">
        <f>D7+D8</f>
        <v/>
      </c>
      <c r="E9" s="5">
        <f>E7+E8</f>
        <v/>
      </c>
      <c r="F9" s="5">
        <f>F7+F8</f>
        <v/>
      </c>
      <c r="G9" s="5">
        <f>G7+G8</f>
        <v/>
      </c>
      <c r="H9" s="5">
        <f>H7+H8</f>
        <v/>
      </c>
      <c r="I9" s="5">
        <f>I7+I8</f>
        <v/>
      </c>
      <c r="J9" s="5">
        <f>J7+J8</f>
        <v/>
      </c>
      <c r="K9" s="5">
        <f>K7+K8</f>
        <v/>
      </c>
      <c r="L9" s="5">
        <f>L7+L8</f>
        <v/>
      </c>
      <c r="M9" s="5">
        <f>M7+M8</f>
        <v/>
      </c>
      <c r="N9" s="5">
        <f>N7+N8</f>
        <v/>
      </c>
      <c r="O9" s="5">
        <f>O7+O8</f>
        <v/>
      </c>
      <c r="P9" s="5">
        <f>SUM(D9:O9)</f>
        <v/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102</v>
      </c>
      <c r="E10" s="3" t="n">
        <v>130</v>
      </c>
      <c r="F10" s="3" t="n">
        <v>143</v>
      </c>
      <c r="G10" s="3" t="n">
        <v>169</v>
      </c>
      <c r="H10" s="3" t="n">
        <v>141</v>
      </c>
      <c r="I10" s="3" t="n">
        <v>125</v>
      </c>
      <c r="J10" s="3" t="n">
        <v>133</v>
      </c>
      <c r="K10" s="3" t="n">
        <v>122</v>
      </c>
      <c r="L10" s="3" t="n">
        <v>126</v>
      </c>
      <c r="M10" s="3" t="n">
        <v>133</v>
      </c>
      <c r="N10" s="3" t="n">
        <v>137</v>
      </c>
      <c r="O10" s="3" t="n">
        <v>181</v>
      </c>
      <c r="P10" s="3">
        <f>SUM(D10:O10)</f>
        <v/>
      </c>
    </row>
    <row r="11">
      <c r="A11" s="2" t="n"/>
      <c r="B11" s="2" t="n"/>
      <c r="C11" s="2" t="inlineStr">
        <is>
          <t>住宅用</t>
        </is>
      </c>
      <c r="D11" s="3" t="n">
        <v>29</v>
      </c>
      <c r="E11" s="3" t="n">
        <v>25</v>
      </c>
      <c r="F11" s="3" t="n">
        <v>19</v>
      </c>
      <c r="G11" s="3" t="n">
        <v>58</v>
      </c>
      <c r="H11" s="3" t="n">
        <v>20</v>
      </c>
      <c r="I11" s="3" t="n">
        <v>32</v>
      </c>
      <c r="J11" s="3" t="n">
        <v>21</v>
      </c>
      <c r="K11" s="3" t="n">
        <v>14</v>
      </c>
      <c r="L11" s="3" t="n">
        <v>22</v>
      </c>
      <c r="M11" s="3" t="n">
        <v>20</v>
      </c>
      <c r="N11" s="3" t="n">
        <v>43</v>
      </c>
      <c r="O11" s="3" t="n">
        <v>21</v>
      </c>
      <c r="P11" s="3">
        <f>SUM(D11:O11)</f>
        <v/>
      </c>
    </row>
    <row r="12">
      <c r="A12" s="4" t="n"/>
      <c r="B12" s="4" t="n"/>
      <c r="C12" s="4" t="inlineStr">
        <is>
          <t>計</t>
        </is>
      </c>
      <c r="D12" s="5">
        <f>SUM(D10:D11)</f>
        <v/>
      </c>
      <c r="E12" s="5">
        <f>SUM(E10:E11)</f>
        <v/>
      </c>
      <c r="F12" s="5">
        <f>SUM(F10:F11)</f>
        <v/>
      </c>
      <c r="G12" s="5">
        <f>SUM(G10:G11)</f>
        <v/>
      </c>
      <c r="H12" s="5">
        <f>SUM(H10:H11)</f>
        <v/>
      </c>
      <c r="I12" s="5">
        <f>SUM(I10:I11)</f>
        <v/>
      </c>
      <c r="J12" s="5">
        <f>SUM(J10:J11)</f>
        <v/>
      </c>
      <c r="K12" s="5">
        <f>SUM(K10:K11)</f>
        <v/>
      </c>
      <c r="L12" s="5">
        <f>SUM(L10:L11)</f>
        <v/>
      </c>
      <c r="M12" s="5">
        <f>SUM(M10:M11)</f>
        <v/>
      </c>
      <c r="N12" s="5">
        <f>SUM(N10:N11)</f>
        <v/>
      </c>
      <c r="O12" s="5">
        <f>SUM(O10:O11)</f>
        <v/>
      </c>
      <c r="P12" s="5">
        <f>SUM(D12:O12)</f>
        <v/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>
        <f>SUM(D13:O13)</f>
        <v/>
      </c>
    </row>
    <row r="14">
      <c r="A14" s="4" t="n"/>
      <c r="B14" s="4" t="inlineStr">
        <is>
          <t>計</t>
        </is>
      </c>
      <c r="C14" s="4" t="n"/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O12+O13</f>
        <v/>
      </c>
      <c r="P14" s="5">
        <f>SUM(D14:O14)</f>
        <v/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>
        <f>D5-D10</f>
        <v/>
      </c>
      <c r="E15" s="3">
        <f>E5-E10</f>
        <v/>
      </c>
      <c r="F15" s="3">
        <f>F5-F10</f>
        <v/>
      </c>
      <c r="G15" s="3">
        <f>G5-G10</f>
        <v/>
      </c>
      <c r="H15" s="3">
        <f>H5-H10</f>
        <v/>
      </c>
      <c r="I15" s="3">
        <f>I5-I10</f>
        <v/>
      </c>
      <c r="J15" s="3">
        <f>J5-J10</f>
        <v/>
      </c>
      <c r="K15" s="3">
        <f>K5-K10</f>
        <v/>
      </c>
      <c r="L15" s="3">
        <f>L5-L10</f>
        <v/>
      </c>
      <c r="M15" s="3">
        <f>M5-M10</f>
        <v/>
      </c>
      <c r="N15" s="3">
        <f>N5-N10</f>
        <v/>
      </c>
      <c r="O15" s="3">
        <f>O5-O10</f>
        <v/>
      </c>
      <c r="P15" s="3">
        <f>SUM(D15:O15)</f>
        <v/>
      </c>
    </row>
    <row r="16">
      <c r="A16" s="2" t="n"/>
      <c r="B16" s="2" t="n"/>
      <c r="C16" s="2" t="inlineStr">
        <is>
          <t>住宅用</t>
        </is>
      </c>
      <c r="D16" s="3">
        <f>D6-D11</f>
        <v/>
      </c>
      <c r="E16" s="3">
        <f>E6-E11</f>
        <v/>
      </c>
      <c r="F16" s="3">
        <f>F6-F11</f>
        <v/>
      </c>
      <c r="G16" s="3">
        <f>G6-G11</f>
        <v/>
      </c>
      <c r="H16" s="3">
        <f>H6-H11</f>
        <v/>
      </c>
      <c r="I16" s="3">
        <f>I6-I11</f>
        <v/>
      </c>
      <c r="J16" s="3">
        <f>J6-J11</f>
        <v/>
      </c>
      <c r="K16" s="3">
        <f>K6-K11</f>
        <v/>
      </c>
      <c r="L16" s="3">
        <f>L6-L11</f>
        <v/>
      </c>
      <c r="M16" s="3">
        <f>M6-M11</f>
        <v/>
      </c>
      <c r="N16" s="3">
        <f>N6-N11</f>
        <v/>
      </c>
      <c r="O16" s="3">
        <f>O6-O11</f>
        <v/>
      </c>
      <c r="P16" s="3">
        <f>SUM(D16:O16)</f>
        <v/>
      </c>
    </row>
    <row r="17">
      <c r="A17" s="4" t="n"/>
      <c r="B17" s="4" t="n"/>
      <c r="C17" s="4" t="inlineStr">
        <is>
          <t>計</t>
        </is>
      </c>
      <c r="D17" s="5">
        <f>SUM(D15:D16)</f>
        <v/>
      </c>
      <c r="E17" s="5">
        <f>SUM(E15:E16)</f>
        <v/>
      </c>
      <c r="F17" s="5">
        <f>SUM(F15:F16)</f>
        <v/>
      </c>
      <c r="G17" s="5">
        <f>SUM(G15:G16)</f>
        <v/>
      </c>
      <c r="H17" s="5">
        <f>SUM(H15:H16)</f>
        <v/>
      </c>
      <c r="I17" s="5">
        <f>SUM(I15:I16)</f>
        <v/>
      </c>
      <c r="J17" s="5">
        <f>SUM(J15:J16)</f>
        <v/>
      </c>
      <c r="K17" s="5">
        <f>SUM(K15:K16)</f>
        <v/>
      </c>
      <c r="L17" s="5">
        <f>SUM(L15:L16)</f>
        <v/>
      </c>
      <c r="M17" s="5">
        <f>SUM(M15:M16)</f>
        <v/>
      </c>
      <c r="N17" s="5">
        <f>SUM(N15:N16)</f>
        <v/>
      </c>
      <c r="O17" s="5">
        <f>SUM(O15:O16)</f>
        <v/>
      </c>
      <c r="P17" s="5">
        <f>SUM(D17:O17)</f>
        <v/>
      </c>
    </row>
    <row r="18">
      <c r="A18" s="2" t="n"/>
      <c r="B18" s="2" t="inlineStr">
        <is>
          <t>学校向け</t>
        </is>
      </c>
      <c r="C18" s="2" t="n"/>
      <c r="D18" s="3">
        <f>D8-D13</f>
        <v/>
      </c>
      <c r="E18" s="3">
        <f>E8-E13</f>
        <v/>
      </c>
      <c r="F18" s="3">
        <f>F8-F13</f>
        <v/>
      </c>
      <c r="G18" s="3">
        <f>G8-G13</f>
        <v/>
      </c>
      <c r="H18" s="3">
        <f>H8-H13</f>
        <v/>
      </c>
      <c r="I18" s="3">
        <f>I8-I13</f>
        <v/>
      </c>
      <c r="J18" s="3">
        <f>J8-J13</f>
        <v/>
      </c>
      <c r="K18" s="3">
        <f>K8-K13</f>
        <v/>
      </c>
      <c r="L18" s="3">
        <f>L8-L13</f>
        <v/>
      </c>
      <c r="M18" s="3">
        <f>M8-M13</f>
        <v/>
      </c>
      <c r="N18" s="3">
        <f>N8-N13</f>
        <v/>
      </c>
      <c r="O18" s="3">
        <f>O8-O13</f>
        <v/>
      </c>
      <c r="P18" s="3">
        <f>SUM(D18:O18)</f>
        <v/>
      </c>
    </row>
    <row r="19">
      <c r="A19" s="4" t="n"/>
      <c r="B19" s="4" t="inlineStr">
        <is>
          <t>計</t>
        </is>
      </c>
      <c r="C19" s="4" t="n"/>
      <c r="D19" s="5">
        <f>D17+D18</f>
        <v/>
      </c>
      <c r="E19" s="5">
        <f>E17+E18</f>
        <v/>
      </c>
      <c r="F19" s="5">
        <f>F17+F18</f>
        <v/>
      </c>
      <c r="G19" s="5">
        <f>G17+G18</f>
        <v/>
      </c>
      <c r="H19" s="5">
        <f>H17+H18</f>
        <v/>
      </c>
      <c r="I19" s="5">
        <f>I17+I18</f>
        <v/>
      </c>
      <c r="J19" s="5">
        <f>J17+J18</f>
        <v/>
      </c>
      <c r="K19" s="5">
        <f>K17+K18</f>
        <v/>
      </c>
      <c r="L19" s="5">
        <f>L17+L18</f>
        <v/>
      </c>
      <c r="M19" s="5">
        <f>M17+M18</f>
        <v/>
      </c>
      <c r="N19" s="5">
        <f>N17+N18</f>
        <v/>
      </c>
      <c r="O19" s="5">
        <f>O17+O18</f>
        <v/>
      </c>
      <c r="P19" s="5">
        <f>SUM(D19:O19)</f>
        <v/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384</v>
      </c>
      <c r="E20" s="3" t="n">
        <v>340</v>
      </c>
      <c r="F20" s="3" t="n">
        <v>397</v>
      </c>
      <c r="G20" s="3" t="n">
        <v>389</v>
      </c>
      <c r="H20" s="3" t="n">
        <v>359</v>
      </c>
      <c r="I20" s="3" t="n">
        <v>353</v>
      </c>
      <c r="J20" s="3" t="n">
        <v>357</v>
      </c>
      <c r="K20" s="3" t="n">
        <v>371</v>
      </c>
      <c r="L20" s="3" t="n">
        <v>449</v>
      </c>
      <c r="M20" s="3" t="n">
        <v>391</v>
      </c>
      <c r="N20" s="3" t="n">
        <v>361</v>
      </c>
      <c r="O20" s="3" t="n">
        <v>501</v>
      </c>
      <c r="P20" s="3">
        <f>SUM(D20:O20)</f>
        <v/>
      </c>
    </row>
    <row r="21">
      <c r="A21" s="2" t="n"/>
      <c r="B21" s="2" t="n"/>
      <c r="C21" s="2" t="inlineStr">
        <is>
          <t>住宅用</t>
        </is>
      </c>
      <c r="D21" s="3" t="n">
        <v>80</v>
      </c>
      <c r="E21" s="3" t="n">
        <v>57</v>
      </c>
      <c r="F21" s="3" t="n">
        <v>67</v>
      </c>
      <c r="G21" s="3" t="n">
        <v>64</v>
      </c>
      <c r="H21" s="3" t="n">
        <v>44</v>
      </c>
      <c r="I21" s="3" t="n">
        <v>46</v>
      </c>
      <c r="J21" s="3" t="n">
        <v>46</v>
      </c>
      <c r="K21" s="3" t="n">
        <v>25</v>
      </c>
      <c r="L21" s="3" t="n">
        <v>40</v>
      </c>
      <c r="M21" s="3" t="n">
        <v>39</v>
      </c>
      <c r="N21" s="3" t="n">
        <v>46</v>
      </c>
      <c r="O21" s="3" t="n">
        <v>62</v>
      </c>
      <c r="P21" s="3">
        <f>SUM(D21:O21)</f>
        <v/>
      </c>
    </row>
    <row r="22">
      <c r="A22" s="4" t="n"/>
      <c r="B22" s="4" t="n"/>
      <c r="C22" s="4" t="inlineStr">
        <is>
          <t>計</t>
        </is>
      </c>
      <c r="D22" s="5">
        <f>SUM(D20:D21)</f>
        <v/>
      </c>
      <c r="E22" s="5">
        <f>SUM(E20:E21)</f>
        <v/>
      </c>
      <c r="F22" s="5">
        <f>SUM(F20:F21)</f>
        <v/>
      </c>
      <c r="G22" s="5">
        <f>SUM(G20:G21)</f>
        <v/>
      </c>
      <c r="H22" s="5">
        <f>SUM(H20:H21)</f>
        <v/>
      </c>
      <c r="I22" s="5">
        <f>SUM(I20:I21)</f>
        <v/>
      </c>
      <c r="J22" s="5">
        <f>SUM(J20:J21)</f>
        <v/>
      </c>
      <c r="K22" s="5">
        <f>SUM(K20:K21)</f>
        <v/>
      </c>
      <c r="L22" s="5">
        <f>SUM(L20:L21)</f>
        <v/>
      </c>
      <c r="M22" s="5">
        <f>SUM(M20:M21)</f>
        <v/>
      </c>
      <c r="N22" s="5">
        <f>SUM(N20:N21)</f>
        <v/>
      </c>
      <c r="O22" s="5">
        <f>SUM(O20:O21)</f>
        <v/>
      </c>
      <c r="P22" s="5">
        <f>SUM(D22:O22)</f>
        <v/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12</v>
      </c>
      <c r="H23" s="3" t="n">
        <v>13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</v>
      </c>
      <c r="N23" s="3" t="n">
        <v>2</v>
      </c>
      <c r="O23" s="3" t="n">
        <v>0</v>
      </c>
      <c r="P23" s="3">
        <f>SUM(D23:O23)</f>
        <v/>
      </c>
    </row>
    <row r="24">
      <c r="A24" s="4" t="n"/>
      <c r="B24" s="4" t="inlineStr">
        <is>
          <t>計</t>
        </is>
      </c>
      <c r="C24" s="4" t="n"/>
      <c r="D24" s="5">
        <f>D22+D23</f>
        <v/>
      </c>
      <c r="E24" s="5">
        <f>E22+E23</f>
        <v/>
      </c>
      <c r="F24" s="5">
        <f>F22+F23</f>
        <v/>
      </c>
      <c r="G24" s="5">
        <f>G22+G23</f>
        <v/>
      </c>
      <c r="H24" s="5">
        <f>H22+H23</f>
        <v/>
      </c>
      <c r="I24" s="5">
        <f>I22+I23</f>
        <v/>
      </c>
      <c r="J24" s="5">
        <f>J22+J23</f>
        <v/>
      </c>
      <c r="K24" s="5">
        <f>K22+K23</f>
        <v/>
      </c>
      <c r="L24" s="5">
        <f>L22+L23</f>
        <v/>
      </c>
      <c r="M24" s="5">
        <f>M22+M23</f>
        <v/>
      </c>
      <c r="N24" s="5">
        <f>N22+N23</f>
        <v/>
      </c>
      <c r="O24" s="5">
        <f>O22+O23</f>
        <v/>
      </c>
      <c r="P24" s="5">
        <f>SUM(D24:O24)</f>
        <v/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461</v>
      </c>
      <c r="E25" s="3" t="n">
        <v>379</v>
      </c>
      <c r="F25" s="3" t="n">
        <v>377</v>
      </c>
      <c r="G25" s="3" t="n">
        <v>465</v>
      </c>
      <c r="H25" s="3" t="n">
        <v>362</v>
      </c>
      <c r="I25" s="3" t="n">
        <v>401</v>
      </c>
      <c r="J25" s="3" t="n">
        <v>480</v>
      </c>
      <c r="K25" s="3" t="n">
        <v>343</v>
      </c>
      <c r="L25" s="3" t="n">
        <v>458</v>
      </c>
      <c r="M25" s="3" t="n">
        <v>380</v>
      </c>
      <c r="N25" s="3" t="n">
        <v>541</v>
      </c>
      <c r="O25" s="3" t="n">
        <v>610</v>
      </c>
      <c r="P25" s="3">
        <f>SUM(D25:O25)</f>
        <v/>
      </c>
    </row>
    <row r="26">
      <c r="A26" s="2" t="n"/>
      <c r="B26" s="2" t="n"/>
      <c r="C26" s="2" t="inlineStr">
        <is>
          <t>住宅用</t>
        </is>
      </c>
      <c r="D26" s="3" t="n">
        <v>302</v>
      </c>
      <c r="E26" s="3" t="n">
        <v>274</v>
      </c>
      <c r="F26" s="3" t="n">
        <v>275</v>
      </c>
      <c r="G26" s="3" t="n">
        <v>253</v>
      </c>
      <c r="H26" s="3" t="n">
        <v>241</v>
      </c>
      <c r="I26" s="3" t="n">
        <v>264</v>
      </c>
      <c r="J26" s="3" t="n">
        <v>251</v>
      </c>
      <c r="K26" s="3" t="n">
        <v>251</v>
      </c>
      <c r="L26" s="3" t="n">
        <v>235</v>
      </c>
      <c r="M26" s="3" t="n">
        <v>265</v>
      </c>
      <c r="N26" s="3" t="n">
        <v>287</v>
      </c>
      <c r="O26" s="3" t="n">
        <v>274</v>
      </c>
      <c r="P26" s="3">
        <f>SUM(D26:O26)</f>
        <v/>
      </c>
    </row>
    <row r="27">
      <c r="A27" s="4" t="n"/>
      <c r="B27" s="4" t="n"/>
      <c r="C27" s="4" t="inlineStr">
        <is>
          <t>計</t>
        </is>
      </c>
      <c r="D27" s="5">
        <f>SUM(D25:D26)</f>
        <v/>
      </c>
      <c r="E27" s="5">
        <f>SUM(E25:E26)</f>
        <v/>
      </c>
      <c r="F27" s="5">
        <f>SUM(F25:F26)</f>
        <v/>
      </c>
      <c r="G27" s="5">
        <f>SUM(G25:G26)</f>
        <v/>
      </c>
      <c r="H27" s="5">
        <f>SUM(H25:H26)</f>
        <v/>
      </c>
      <c r="I27" s="5">
        <f>SUM(I25:I26)</f>
        <v/>
      </c>
      <c r="J27" s="5">
        <f>SUM(J25:J26)</f>
        <v/>
      </c>
      <c r="K27" s="5">
        <f>SUM(K25:K26)</f>
        <v/>
      </c>
      <c r="L27" s="5">
        <f>SUM(L25:L26)</f>
        <v/>
      </c>
      <c r="M27" s="5">
        <f>SUM(M25:M26)</f>
        <v/>
      </c>
      <c r="N27" s="5">
        <f>SUM(N25:N26)</f>
        <v/>
      </c>
      <c r="O27" s="5">
        <f>SUM(O25:O26)</f>
        <v/>
      </c>
      <c r="P27" s="5">
        <f>SUM(D27:O27)</f>
        <v/>
      </c>
    </row>
    <row r="28">
      <c r="A28" s="2" t="n"/>
      <c r="B28" s="2" t="inlineStr">
        <is>
          <t>学校向け</t>
        </is>
      </c>
      <c r="C28" s="2" t="n"/>
      <c r="D28" s="3" t="n">
        <v>1</v>
      </c>
      <c r="E28" s="3" t="n">
        <v>0</v>
      </c>
      <c r="F28" s="3" t="n">
        <v>1</v>
      </c>
      <c r="G28" s="3" t="n">
        <v>12</v>
      </c>
      <c r="H28" s="3" t="n">
        <v>13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1</v>
      </c>
      <c r="O28" s="3" t="n">
        <v>0</v>
      </c>
      <c r="P28" s="3">
        <f>SUM(D28:O28)</f>
        <v/>
      </c>
    </row>
    <row r="29">
      <c r="A29" s="4" t="n"/>
      <c r="B29" s="4" t="inlineStr">
        <is>
          <t>計</t>
        </is>
      </c>
      <c r="C29" s="4" t="n"/>
      <c r="D29" s="5">
        <f>D27+D28</f>
        <v/>
      </c>
      <c r="E29" s="5">
        <f>E27+E28</f>
        <v/>
      </c>
      <c r="F29" s="5">
        <f>F27+F28</f>
        <v/>
      </c>
      <c r="G29" s="5">
        <f>G27+G28</f>
        <v/>
      </c>
      <c r="H29" s="5">
        <f>H27+H28</f>
        <v/>
      </c>
      <c r="I29" s="5">
        <f>I27+I28</f>
        <v/>
      </c>
      <c r="J29" s="5">
        <f>J27+J28</f>
        <v/>
      </c>
      <c r="K29" s="5">
        <f>K27+K28</f>
        <v/>
      </c>
      <c r="L29" s="5">
        <f>L27+L28</f>
        <v/>
      </c>
      <c r="M29" s="5">
        <f>M27+M28</f>
        <v/>
      </c>
      <c r="N29" s="5">
        <f>N27+N28</f>
        <v/>
      </c>
      <c r="O29" s="5">
        <f>O27+O28</f>
        <v/>
      </c>
      <c r="P29" s="5">
        <f>SUM(D29:O29)</f>
        <v/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>
        <f>D20-D25</f>
        <v/>
      </c>
      <c r="E30" s="3">
        <f>E20-E25</f>
        <v/>
      </c>
      <c r="F30" s="3">
        <f>F20-F25</f>
        <v/>
      </c>
      <c r="G30" s="3">
        <f>G20-G25</f>
        <v/>
      </c>
      <c r="H30" s="3">
        <f>H20-H25</f>
        <v/>
      </c>
      <c r="I30" s="3">
        <f>I20-I25</f>
        <v/>
      </c>
      <c r="J30" s="3">
        <f>J20-J25</f>
        <v/>
      </c>
      <c r="K30" s="3">
        <f>K20-K25</f>
        <v/>
      </c>
      <c r="L30" s="3">
        <f>L20-L25</f>
        <v/>
      </c>
      <c r="M30" s="3">
        <f>M20-M25</f>
        <v/>
      </c>
      <c r="N30" s="3">
        <f>N20-N25</f>
        <v/>
      </c>
      <c r="O30" s="3">
        <f>O20-O25</f>
        <v/>
      </c>
      <c r="P30" s="3">
        <f>SUM(D30:O30)</f>
        <v/>
      </c>
    </row>
    <row r="31">
      <c r="A31" s="2" t="n"/>
      <c r="B31" s="2" t="n"/>
      <c r="C31" s="2" t="inlineStr">
        <is>
          <t>住宅用</t>
        </is>
      </c>
      <c r="D31" s="3">
        <f>D21-D26</f>
        <v/>
      </c>
      <c r="E31" s="3">
        <f>E21-E26</f>
        <v/>
      </c>
      <c r="F31" s="3">
        <f>F21-F26</f>
        <v/>
      </c>
      <c r="G31" s="3">
        <f>G21-G26</f>
        <v/>
      </c>
      <c r="H31" s="3">
        <f>H21-H26</f>
        <v/>
      </c>
      <c r="I31" s="3">
        <f>I21-I26</f>
        <v/>
      </c>
      <c r="J31" s="3">
        <f>J21-J26</f>
        <v/>
      </c>
      <c r="K31" s="3">
        <f>K21-K26</f>
        <v/>
      </c>
      <c r="L31" s="3">
        <f>L21-L26</f>
        <v/>
      </c>
      <c r="M31" s="3">
        <f>M21-M26</f>
        <v/>
      </c>
      <c r="N31" s="3">
        <f>N21-N26</f>
        <v/>
      </c>
      <c r="O31" s="3">
        <f>O21-O26</f>
        <v/>
      </c>
      <c r="P31" s="3">
        <f>SUM(D31:O31)</f>
        <v/>
      </c>
    </row>
    <row r="32">
      <c r="A32" s="4" t="n"/>
      <c r="B32" s="4" t="n"/>
      <c r="C32" s="4" t="inlineStr">
        <is>
          <t>計</t>
        </is>
      </c>
      <c r="D32" s="5">
        <f>SUM(D30:D31)</f>
        <v/>
      </c>
      <c r="E32" s="5">
        <f>SUM(E30:E31)</f>
        <v/>
      </c>
      <c r="F32" s="5">
        <f>SUM(F30:F31)</f>
        <v/>
      </c>
      <c r="G32" s="5">
        <f>SUM(G30:G31)</f>
        <v/>
      </c>
      <c r="H32" s="5">
        <f>SUM(H30:H31)</f>
        <v/>
      </c>
      <c r="I32" s="5">
        <f>SUM(I30:I31)</f>
        <v/>
      </c>
      <c r="J32" s="5">
        <f>SUM(J30:J31)</f>
        <v/>
      </c>
      <c r="K32" s="5">
        <f>SUM(K30:K31)</f>
        <v/>
      </c>
      <c r="L32" s="5">
        <f>SUM(L30:L31)</f>
        <v/>
      </c>
      <c r="M32" s="5">
        <f>SUM(M30:M31)</f>
        <v/>
      </c>
      <c r="N32" s="5">
        <f>SUM(N30:N31)</f>
        <v/>
      </c>
      <c r="O32" s="5">
        <f>SUM(O30:O31)</f>
        <v/>
      </c>
      <c r="P32" s="5">
        <f>SUM(D32:O32)</f>
        <v/>
      </c>
    </row>
    <row r="33">
      <c r="A33" s="2" t="n"/>
      <c r="B33" s="2" t="inlineStr">
        <is>
          <t>学校向け</t>
        </is>
      </c>
      <c r="C33" s="2" t="n"/>
      <c r="D33" s="3">
        <f>D23-D28</f>
        <v/>
      </c>
      <c r="E33" s="3">
        <f>E23-E28</f>
        <v/>
      </c>
      <c r="F33" s="3">
        <f>F23-F28</f>
        <v/>
      </c>
      <c r="G33" s="3">
        <f>G23-G28</f>
        <v/>
      </c>
      <c r="H33" s="3">
        <f>H23-H28</f>
        <v/>
      </c>
      <c r="I33" s="3">
        <f>I23-I28</f>
        <v/>
      </c>
      <c r="J33" s="3">
        <f>J23-J28</f>
        <v/>
      </c>
      <c r="K33" s="3">
        <f>K23-K28</f>
        <v/>
      </c>
      <c r="L33" s="3">
        <f>L23-L28</f>
        <v/>
      </c>
      <c r="M33" s="3">
        <f>M23-M28</f>
        <v/>
      </c>
      <c r="N33" s="3">
        <f>N23-N28</f>
        <v/>
      </c>
      <c r="O33" s="3">
        <f>O23-O28</f>
        <v/>
      </c>
      <c r="P33" s="3">
        <f>SUM(D33:O33)</f>
        <v/>
      </c>
    </row>
    <row r="34">
      <c r="A34" s="4" t="n"/>
      <c r="B34" s="4" t="inlineStr">
        <is>
          <t>計</t>
        </is>
      </c>
      <c r="C34" s="4" t="n"/>
      <c r="D34" s="5">
        <f>D32+D33</f>
        <v/>
      </c>
      <c r="E34" s="5">
        <f>E32+E33</f>
        <v/>
      </c>
      <c r="F34" s="5">
        <f>F32+F33</f>
        <v/>
      </c>
      <c r="G34" s="5">
        <f>G32+G33</f>
        <v/>
      </c>
      <c r="H34" s="5">
        <f>H32+H33</f>
        <v/>
      </c>
      <c r="I34" s="5">
        <f>I32+I33</f>
        <v/>
      </c>
      <c r="J34" s="5">
        <f>J32+J33</f>
        <v/>
      </c>
      <c r="K34" s="5">
        <f>K32+K33</f>
        <v/>
      </c>
      <c r="L34" s="5">
        <f>L32+L33</f>
        <v/>
      </c>
      <c r="M34" s="5">
        <f>M32+M33</f>
        <v/>
      </c>
      <c r="N34" s="5">
        <f>N32+N33</f>
        <v/>
      </c>
      <c r="O34" s="5">
        <f>O32+O33</f>
        <v/>
      </c>
      <c r="P34" s="5">
        <f>SUM(D34:O34)</f>
        <v/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30452</v>
      </c>
      <c r="E35" s="3" t="n">
        <v>30400</v>
      </c>
      <c r="F35" s="3" t="n">
        <v>30402</v>
      </c>
      <c r="G35" s="3" t="n">
        <v>30314</v>
      </c>
      <c r="H35" s="3" t="n">
        <v>30306</v>
      </c>
      <c r="I35" s="3" t="n">
        <v>30254</v>
      </c>
      <c r="J35" s="3" t="n">
        <v>30127</v>
      </c>
      <c r="K35" s="3" t="n">
        <v>30141</v>
      </c>
      <c r="L35" s="3" t="n">
        <v>30128</v>
      </c>
      <c r="M35" s="3" t="n">
        <v>30126</v>
      </c>
      <c r="N35" s="3" t="n">
        <v>29937</v>
      </c>
      <c r="O35" s="3" t="n">
        <v>29826</v>
      </c>
      <c r="P35" s="3">
        <f>O35</f>
        <v/>
      </c>
    </row>
    <row r="36">
      <c r="A36" s="2" t="n"/>
      <c r="B36" s="2" t="n"/>
      <c r="C36" s="2" t="inlineStr">
        <is>
          <t>住宅用</t>
        </is>
      </c>
      <c r="D36" s="3" t="n">
        <v>26262</v>
      </c>
      <c r="E36" s="3" t="n">
        <v>26036</v>
      </c>
      <c r="F36" s="3" t="n">
        <v>25820</v>
      </c>
      <c r="G36" s="3" t="n">
        <v>25627</v>
      </c>
      <c r="H36" s="3" t="n">
        <v>25422</v>
      </c>
      <c r="I36" s="3" t="n">
        <v>25192</v>
      </c>
      <c r="J36" s="3" t="n">
        <v>24976</v>
      </c>
      <c r="K36" s="3" t="n">
        <v>24748</v>
      </c>
      <c r="L36" s="3" t="n">
        <v>24551</v>
      </c>
      <c r="M36" s="3" t="n">
        <v>24319</v>
      </c>
      <c r="N36" s="3" t="n">
        <v>24073</v>
      </c>
      <c r="O36" s="3" t="n">
        <v>23854</v>
      </c>
      <c r="P36" s="3">
        <f>O36</f>
        <v/>
      </c>
    </row>
    <row r="37">
      <c r="A37" s="4" t="n"/>
      <c r="B37" s="4" t="n"/>
      <c r="C37" s="4" t="inlineStr">
        <is>
          <t>計</t>
        </is>
      </c>
      <c r="D37" s="5">
        <f>SUM(D35:D36)</f>
        <v/>
      </c>
      <c r="E37" s="5">
        <f>SUM(E35:E36)</f>
        <v/>
      </c>
      <c r="F37" s="5">
        <f>SUM(F35:F36)</f>
        <v/>
      </c>
      <c r="G37" s="5">
        <f>SUM(G35:G36)</f>
        <v/>
      </c>
      <c r="H37" s="5">
        <f>SUM(H35:H36)</f>
        <v/>
      </c>
      <c r="I37" s="5">
        <f>SUM(I35:I36)</f>
        <v/>
      </c>
      <c r="J37" s="5">
        <f>SUM(J35:J36)</f>
        <v/>
      </c>
      <c r="K37" s="5">
        <f>SUM(K35:K36)</f>
        <v/>
      </c>
      <c r="L37" s="5">
        <f>SUM(L35:L36)</f>
        <v/>
      </c>
      <c r="M37" s="5">
        <f>SUM(M35:M36)</f>
        <v/>
      </c>
      <c r="N37" s="5">
        <f>SUM(N35:N36)</f>
        <v/>
      </c>
      <c r="O37" s="5">
        <f>SUM(O35:O36)</f>
        <v/>
      </c>
      <c r="P37" s="5">
        <f>O37</f>
        <v/>
      </c>
    </row>
    <row r="38">
      <c r="A38" s="2" t="n"/>
      <c r="B38" s="2" t="inlineStr">
        <is>
          <t>学校向け</t>
        </is>
      </c>
      <c r="C38" s="2" t="n"/>
      <c r="D38" s="3" t="n">
        <v>459</v>
      </c>
      <c r="E38" s="3" t="n">
        <v>459</v>
      </c>
      <c r="F38" s="3" t="n">
        <v>458</v>
      </c>
      <c r="G38" s="3" t="n">
        <v>458</v>
      </c>
      <c r="H38" s="3" t="n">
        <v>458</v>
      </c>
      <c r="I38" s="3" t="n">
        <v>458</v>
      </c>
      <c r="J38" s="3" t="n">
        <v>458</v>
      </c>
      <c r="K38" s="3" t="n">
        <v>458</v>
      </c>
      <c r="L38" s="3" t="n">
        <v>458</v>
      </c>
      <c r="M38" s="3" t="n">
        <v>458</v>
      </c>
      <c r="N38" s="3" t="n">
        <v>459</v>
      </c>
      <c r="O38" s="3" t="n">
        <v>459</v>
      </c>
      <c r="P38" s="3">
        <f>O38</f>
        <v/>
      </c>
    </row>
    <row r="39">
      <c r="A39" s="4" t="n"/>
      <c r="B39" s="4" t="inlineStr">
        <is>
          <t>計</t>
        </is>
      </c>
      <c r="C39" s="4" t="n"/>
      <c r="D39" s="5">
        <f>D37+D38</f>
        <v/>
      </c>
      <c r="E39" s="5">
        <f>E37+E38</f>
        <v/>
      </c>
      <c r="F39" s="5">
        <f>F37+F38</f>
        <v/>
      </c>
      <c r="G39" s="5">
        <f>G37+G38</f>
        <v/>
      </c>
      <c r="H39" s="5">
        <f>H37+H38</f>
        <v/>
      </c>
      <c r="I39" s="5">
        <f>I37+I38</f>
        <v/>
      </c>
      <c r="J39" s="5">
        <f>J37+J38</f>
        <v/>
      </c>
      <c r="K39" s="5">
        <f>K37+K38</f>
        <v/>
      </c>
      <c r="L39" s="5">
        <f>L37+L38</f>
        <v/>
      </c>
      <c r="M39" s="5">
        <f>M37+M38</f>
        <v/>
      </c>
      <c r="N39" s="5">
        <f>N37+N38</f>
        <v/>
      </c>
      <c r="O39" s="5">
        <f>O37+O38</f>
        <v/>
      </c>
      <c r="P39" s="5">
        <f>O39</f>
        <v/>
      </c>
    </row>
  </sheetData>
  <mergeCells count="28">
    <mergeCell ref="A5:A9"/>
    <mergeCell ref="B30:B32"/>
    <mergeCell ref="B15:B17"/>
    <mergeCell ref="A20:A24"/>
    <mergeCell ref="B18:C18"/>
    <mergeCell ref="B5:B7"/>
    <mergeCell ref="B39:C39"/>
    <mergeCell ref="B35:B37"/>
    <mergeCell ref="A35:A39"/>
    <mergeCell ref="B20:B22"/>
    <mergeCell ref="B23:C23"/>
    <mergeCell ref="A10:A14"/>
    <mergeCell ref="B14:C14"/>
    <mergeCell ref="B25:B27"/>
    <mergeCell ref="B8:C8"/>
    <mergeCell ref="B13:C13"/>
    <mergeCell ref="B38:C38"/>
    <mergeCell ref="B29:C29"/>
    <mergeCell ref="A30:A34"/>
    <mergeCell ref="A15:A19"/>
    <mergeCell ref="B19:C19"/>
    <mergeCell ref="B34:C34"/>
    <mergeCell ref="B28:C28"/>
    <mergeCell ref="B9:C9"/>
    <mergeCell ref="B24:C24"/>
    <mergeCell ref="B33:C33"/>
    <mergeCell ref="B10:B12"/>
    <mergeCell ref="A25:A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680</v>
      </c>
      <c r="E5" s="3" t="n">
        <v>675</v>
      </c>
      <c r="F5" s="3" t="n">
        <v>857</v>
      </c>
      <c r="G5" s="3" t="n">
        <v>757</v>
      </c>
      <c r="H5" s="3" t="n">
        <v>660</v>
      </c>
      <c r="I5" s="3" t="n">
        <v>677</v>
      </c>
      <c r="J5" s="3" t="n">
        <v>927</v>
      </c>
      <c r="K5" s="3" t="n">
        <v>596</v>
      </c>
      <c r="L5" s="3" t="n">
        <v>650</v>
      </c>
      <c r="M5" s="3" t="n">
        <v>662</v>
      </c>
      <c r="N5" s="3" t="n">
        <v>704</v>
      </c>
      <c r="O5" s="3" t="n">
        <v>851</v>
      </c>
      <c r="P5" s="3">
        <f>SUM(D5:O5)</f>
        <v/>
      </c>
    </row>
    <row r="6">
      <c r="A6" s="2" t="n"/>
      <c r="B6" s="2" t="n"/>
      <c r="C6" s="2" t="inlineStr">
        <is>
          <t>住宅用</t>
        </is>
      </c>
      <c r="D6" s="3" t="n">
        <v>81</v>
      </c>
      <c r="E6" s="3" t="n">
        <v>45</v>
      </c>
      <c r="F6" s="3" t="n">
        <v>52</v>
      </c>
      <c r="G6" s="3" t="n">
        <v>76</v>
      </c>
      <c r="H6" s="3" t="n">
        <v>49</v>
      </c>
      <c r="I6" s="3" t="n">
        <v>65</v>
      </c>
      <c r="J6" s="3" t="n">
        <v>66</v>
      </c>
      <c r="K6" s="3" t="n">
        <v>53</v>
      </c>
      <c r="L6" s="3" t="n">
        <v>53</v>
      </c>
      <c r="M6" s="3" t="n">
        <v>67</v>
      </c>
      <c r="N6" s="3" t="n">
        <v>54</v>
      </c>
      <c r="O6" s="3" t="n">
        <v>90</v>
      </c>
      <c r="P6" s="3">
        <f>SUM(D6:O6)</f>
        <v/>
      </c>
    </row>
    <row r="7">
      <c r="A7" s="4" t="n"/>
      <c r="B7" s="4" t="n"/>
      <c r="C7" s="4" t="inlineStr">
        <is>
          <t>計</t>
        </is>
      </c>
      <c r="D7" s="5">
        <f>SUM(D5:D6)</f>
        <v/>
      </c>
      <c r="E7" s="5">
        <f>SUM(E5:E6)</f>
        <v/>
      </c>
      <c r="F7" s="5">
        <f>SUM(F5:F6)</f>
        <v/>
      </c>
      <c r="G7" s="5">
        <f>SUM(G5:G6)</f>
        <v/>
      </c>
      <c r="H7" s="5">
        <f>SUM(H5:H6)</f>
        <v/>
      </c>
      <c r="I7" s="5">
        <f>SUM(I5:I6)</f>
        <v/>
      </c>
      <c r="J7" s="5">
        <f>SUM(J5:J6)</f>
        <v/>
      </c>
      <c r="K7" s="5">
        <f>SUM(K5:K6)</f>
        <v/>
      </c>
      <c r="L7" s="5">
        <f>SUM(L5:L6)</f>
        <v/>
      </c>
      <c r="M7" s="5">
        <f>SUM(M5:M6)</f>
        <v/>
      </c>
      <c r="N7" s="5">
        <f>SUM(N5:N6)</f>
        <v/>
      </c>
      <c r="O7" s="5">
        <f>SUM(O5:O6)</f>
        <v/>
      </c>
      <c r="P7" s="5">
        <f>SUM(D7:O7)</f>
        <v/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>
        <f>SUM(D8:O8)</f>
        <v/>
      </c>
    </row>
    <row r="9">
      <c r="A9" s="4" t="n"/>
      <c r="B9" s="4" t="inlineStr">
        <is>
          <t>計</t>
        </is>
      </c>
      <c r="C9" s="4" t="n"/>
      <c r="D9" s="5">
        <f>D7+D8</f>
        <v/>
      </c>
      <c r="E9" s="5">
        <f>E7+E8</f>
        <v/>
      </c>
      <c r="F9" s="5">
        <f>F7+F8</f>
        <v/>
      </c>
      <c r="G9" s="5">
        <f>G7+G8</f>
        <v/>
      </c>
      <c r="H9" s="5">
        <f>H7+H8</f>
        <v/>
      </c>
      <c r="I9" s="5">
        <f>I7+I8</f>
        <v/>
      </c>
      <c r="J9" s="5">
        <f>J7+J8</f>
        <v/>
      </c>
      <c r="K9" s="5">
        <f>K7+K8</f>
        <v/>
      </c>
      <c r="L9" s="5">
        <f>L7+L8</f>
        <v/>
      </c>
      <c r="M9" s="5">
        <f>M7+M8</f>
        <v/>
      </c>
      <c r="N9" s="5">
        <f>N7+N8</f>
        <v/>
      </c>
      <c r="O9" s="5">
        <f>O7+O8</f>
        <v/>
      </c>
      <c r="P9" s="5">
        <f>SUM(D9:O9)</f>
        <v/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232</v>
      </c>
      <c r="E10" s="3" t="n">
        <v>160</v>
      </c>
      <c r="F10" s="3" t="n">
        <v>268</v>
      </c>
      <c r="G10" s="3" t="n">
        <v>183</v>
      </c>
      <c r="H10" s="3" t="n">
        <v>176</v>
      </c>
      <c r="I10" s="3" t="n">
        <v>207</v>
      </c>
      <c r="J10" s="3" t="n">
        <v>208</v>
      </c>
      <c r="K10" s="3" t="n">
        <v>186</v>
      </c>
      <c r="L10" s="3" t="n">
        <v>169</v>
      </c>
      <c r="M10" s="3" t="n">
        <v>190</v>
      </c>
      <c r="N10" s="3" t="n">
        <v>172</v>
      </c>
      <c r="O10" s="3" t="n">
        <v>242</v>
      </c>
      <c r="P10" s="3">
        <f>SUM(D10:O10)</f>
        <v/>
      </c>
    </row>
    <row r="11">
      <c r="A11" s="2" t="n"/>
      <c r="B11" s="2" t="n"/>
      <c r="C11" s="2" t="inlineStr">
        <is>
          <t>住宅用</t>
        </is>
      </c>
      <c r="D11" s="3" t="n">
        <v>33</v>
      </c>
      <c r="E11" s="3" t="n">
        <v>16</v>
      </c>
      <c r="F11" s="3" t="n">
        <v>20</v>
      </c>
      <c r="G11" s="3" t="n">
        <v>33</v>
      </c>
      <c r="H11" s="3" t="n">
        <v>22</v>
      </c>
      <c r="I11" s="3" t="n">
        <v>36</v>
      </c>
      <c r="J11" s="3" t="n">
        <v>33</v>
      </c>
      <c r="K11" s="3" t="n">
        <v>23</v>
      </c>
      <c r="L11" s="3" t="n">
        <v>21</v>
      </c>
      <c r="M11" s="3" t="n">
        <v>31</v>
      </c>
      <c r="N11" s="3" t="n">
        <v>23</v>
      </c>
      <c r="O11" s="3" t="n">
        <v>36</v>
      </c>
      <c r="P11" s="3">
        <f>SUM(D11:O11)</f>
        <v/>
      </c>
    </row>
    <row r="12">
      <c r="A12" s="4" t="n"/>
      <c r="B12" s="4" t="n"/>
      <c r="C12" s="4" t="inlineStr">
        <is>
          <t>計</t>
        </is>
      </c>
      <c r="D12" s="5">
        <f>SUM(D10:D11)</f>
        <v/>
      </c>
      <c r="E12" s="5">
        <f>SUM(E10:E11)</f>
        <v/>
      </c>
      <c r="F12" s="5">
        <f>SUM(F10:F11)</f>
        <v/>
      </c>
      <c r="G12" s="5">
        <f>SUM(G10:G11)</f>
        <v/>
      </c>
      <c r="H12" s="5">
        <f>SUM(H10:H11)</f>
        <v/>
      </c>
      <c r="I12" s="5">
        <f>SUM(I10:I11)</f>
        <v/>
      </c>
      <c r="J12" s="5">
        <f>SUM(J10:J11)</f>
        <v/>
      </c>
      <c r="K12" s="5">
        <f>SUM(K10:K11)</f>
        <v/>
      </c>
      <c r="L12" s="5">
        <f>SUM(L10:L11)</f>
        <v/>
      </c>
      <c r="M12" s="5">
        <f>SUM(M10:M11)</f>
        <v/>
      </c>
      <c r="N12" s="5">
        <f>SUM(N10:N11)</f>
        <v/>
      </c>
      <c r="O12" s="5">
        <f>SUM(O10:O11)</f>
        <v/>
      </c>
      <c r="P12" s="5">
        <f>SUM(D12:O12)</f>
        <v/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>
        <f>SUM(D13:O13)</f>
        <v/>
      </c>
    </row>
    <row r="14">
      <c r="A14" s="4" t="n"/>
      <c r="B14" s="4" t="inlineStr">
        <is>
          <t>計</t>
        </is>
      </c>
      <c r="C14" s="4" t="n"/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O12+O13</f>
        <v/>
      </c>
      <c r="P14" s="5">
        <f>SUM(D14:O14)</f>
        <v/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>
        <f>D5-D10</f>
        <v/>
      </c>
      <c r="E15" s="3">
        <f>E5-E10</f>
        <v/>
      </c>
      <c r="F15" s="3">
        <f>F5-F10</f>
        <v/>
      </c>
      <c r="G15" s="3">
        <f>G5-G10</f>
        <v/>
      </c>
      <c r="H15" s="3">
        <f>H5-H10</f>
        <v/>
      </c>
      <c r="I15" s="3">
        <f>I5-I10</f>
        <v/>
      </c>
      <c r="J15" s="3">
        <f>J5-J10</f>
        <v/>
      </c>
      <c r="K15" s="3">
        <f>K5-K10</f>
        <v/>
      </c>
      <c r="L15" s="3">
        <f>L5-L10</f>
        <v/>
      </c>
      <c r="M15" s="3">
        <f>M5-M10</f>
        <v/>
      </c>
      <c r="N15" s="3">
        <f>N5-N10</f>
        <v/>
      </c>
      <c r="O15" s="3">
        <f>O5-O10</f>
        <v/>
      </c>
      <c r="P15" s="3">
        <f>SUM(D15:O15)</f>
        <v/>
      </c>
    </row>
    <row r="16">
      <c r="A16" s="2" t="n"/>
      <c r="B16" s="2" t="n"/>
      <c r="C16" s="2" t="inlineStr">
        <is>
          <t>住宅用</t>
        </is>
      </c>
      <c r="D16" s="3">
        <f>D6-D11</f>
        <v/>
      </c>
      <c r="E16" s="3">
        <f>E6-E11</f>
        <v/>
      </c>
      <c r="F16" s="3">
        <f>F6-F11</f>
        <v/>
      </c>
      <c r="G16" s="3">
        <f>G6-G11</f>
        <v/>
      </c>
      <c r="H16" s="3">
        <f>H6-H11</f>
        <v/>
      </c>
      <c r="I16" s="3">
        <f>I6-I11</f>
        <v/>
      </c>
      <c r="J16" s="3">
        <f>J6-J11</f>
        <v/>
      </c>
      <c r="K16" s="3">
        <f>K6-K11</f>
        <v/>
      </c>
      <c r="L16" s="3">
        <f>L6-L11</f>
        <v/>
      </c>
      <c r="M16" s="3">
        <f>M6-M11</f>
        <v/>
      </c>
      <c r="N16" s="3">
        <f>N6-N11</f>
        <v/>
      </c>
      <c r="O16" s="3">
        <f>O6-O11</f>
        <v/>
      </c>
      <c r="P16" s="3">
        <f>SUM(D16:O16)</f>
        <v/>
      </c>
    </row>
    <row r="17">
      <c r="A17" s="4" t="n"/>
      <c r="B17" s="4" t="n"/>
      <c r="C17" s="4" t="inlineStr">
        <is>
          <t>計</t>
        </is>
      </c>
      <c r="D17" s="5">
        <f>SUM(D15:D16)</f>
        <v/>
      </c>
      <c r="E17" s="5">
        <f>SUM(E15:E16)</f>
        <v/>
      </c>
      <c r="F17" s="5">
        <f>SUM(F15:F16)</f>
        <v/>
      </c>
      <c r="G17" s="5">
        <f>SUM(G15:G16)</f>
        <v/>
      </c>
      <c r="H17" s="5">
        <f>SUM(H15:H16)</f>
        <v/>
      </c>
      <c r="I17" s="5">
        <f>SUM(I15:I16)</f>
        <v/>
      </c>
      <c r="J17" s="5">
        <f>SUM(J15:J16)</f>
        <v/>
      </c>
      <c r="K17" s="5">
        <f>SUM(K15:K16)</f>
        <v/>
      </c>
      <c r="L17" s="5">
        <f>SUM(L15:L16)</f>
        <v/>
      </c>
      <c r="M17" s="5">
        <f>SUM(M15:M16)</f>
        <v/>
      </c>
      <c r="N17" s="5">
        <f>SUM(N15:N16)</f>
        <v/>
      </c>
      <c r="O17" s="5">
        <f>SUM(O15:O16)</f>
        <v/>
      </c>
      <c r="P17" s="5">
        <f>SUM(D17:O17)</f>
        <v/>
      </c>
    </row>
    <row r="18">
      <c r="A18" s="2" t="n"/>
      <c r="B18" s="2" t="inlineStr">
        <is>
          <t>学校向け</t>
        </is>
      </c>
      <c r="C18" s="2" t="n"/>
      <c r="D18" s="3">
        <f>D8-D13</f>
        <v/>
      </c>
      <c r="E18" s="3">
        <f>E8-E13</f>
        <v/>
      </c>
      <c r="F18" s="3">
        <f>F8-F13</f>
        <v/>
      </c>
      <c r="G18" s="3">
        <f>G8-G13</f>
        <v/>
      </c>
      <c r="H18" s="3">
        <f>H8-H13</f>
        <v/>
      </c>
      <c r="I18" s="3">
        <f>I8-I13</f>
        <v/>
      </c>
      <c r="J18" s="3">
        <f>J8-J13</f>
        <v/>
      </c>
      <c r="K18" s="3">
        <f>K8-K13</f>
        <v/>
      </c>
      <c r="L18" s="3">
        <f>L8-L13</f>
        <v/>
      </c>
      <c r="M18" s="3">
        <f>M8-M13</f>
        <v/>
      </c>
      <c r="N18" s="3">
        <f>N8-N13</f>
        <v/>
      </c>
      <c r="O18" s="3">
        <f>O8-O13</f>
        <v/>
      </c>
      <c r="P18" s="3">
        <f>SUM(D18:O18)</f>
        <v/>
      </c>
    </row>
    <row r="19">
      <c r="A19" s="4" t="n"/>
      <c r="B19" s="4" t="inlineStr">
        <is>
          <t>計</t>
        </is>
      </c>
      <c r="C19" s="4" t="n"/>
      <c r="D19" s="5">
        <f>D17+D18</f>
        <v/>
      </c>
      <c r="E19" s="5">
        <f>E17+E18</f>
        <v/>
      </c>
      <c r="F19" s="5">
        <f>F17+F18</f>
        <v/>
      </c>
      <c r="G19" s="5">
        <f>G17+G18</f>
        <v/>
      </c>
      <c r="H19" s="5">
        <f>H17+H18</f>
        <v/>
      </c>
      <c r="I19" s="5">
        <f>I17+I18</f>
        <v/>
      </c>
      <c r="J19" s="5">
        <f>J17+J18</f>
        <v/>
      </c>
      <c r="K19" s="5">
        <f>K17+K18</f>
        <v/>
      </c>
      <c r="L19" s="5">
        <f>L17+L18</f>
        <v/>
      </c>
      <c r="M19" s="5">
        <f>M17+M18</f>
        <v/>
      </c>
      <c r="N19" s="5">
        <f>N17+N18</f>
        <v/>
      </c>
      <c r="O19" s="5">
        <f>O17+O18</f>
        <v/>
      </c>
      <c r="P19" s="5">
        <f>SUM(D19:O19)</f>
        <v/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678</v>
      </c>
      <c r="E20" s="3" t="n">
        <v>548</v>
      </c>
      <c r="F20" s="3" t="n">
        <v>543</v>
      </c>
      <c r="G20" s="3" t="n">
        <v>560</v>
      </c>
      <c r="H20" s="3" t="n">
        <v>514</v>
      </c>
      <c r="I20" s="3" t="n">
        <v>574</v>
      </c>
      <c r="J20" s="3" t="n">
        <v>616</v>
      </c>
      <c r="K20" s="3" t="n">
        <v>511</v>
      </c>
      <c r="L20" s="3" t="n">
        <v>559</v>
      </c>
      <c r="M20" s="3" t="n">
        <v>469</v>
      </c>
      <c r="N20" s="3" t="n">
        <v>532</v>
      </c>
      <c r="O20" s="3" t="n">
        <v>700</v>
      </c>
      <c r="P20" s="3">
        <f>SUM(D20:O20)</f>
        <v/>
      </c>
    </row>
    <row r="21">
      <c r="A21" s="2" t="n"/>
      <c r="B21" s="2" t="n"/>
      <c r="C21" s="2" t="inlineStr">
        <is>
          <t>住宅用</t>
        </is>
      </c>
      <c r="D21" s="3" t="n">
        <v>89</v>
      </c>
      <c r="E21" s="3" t="n">
        <v>57</v>
      </c>
      <c r="F21" s="3" t="n">
        <v>78</v>
      </c>
      <c r="G21" s="3" t="n">
        <v>62</v>
      </c>
      <c r="H21" s="3" t="n">
        <v>55</v>
      </c>
      <c r="I21" s="3" t="n">
        <v>67</v>
      </c>
      <c r="J21" s="3" t="n">
        <v>51</v>
      </c>
      <c r="K21" s="3" t="n">
        <v>57</v>
      </c>
      <c r="L21" s="3" t="n">
        <v>44</v>
      </c>
      <c r="M21" s="3" t="n">
        <v>56</v>
      </c>
      <c r="N21" s="3" t="n">
        <v>47</v>
      </c>
      <c r="O21" s="3" t="n">
        <v>61</v>
      </c>
      <c r="P21" s="3">
        <f>SUM(D21:O21)</f>
        <v/>
      </c>
    </row>
    <row r="22">
      <c r="A22" s="4" t="n"/>
      <c r="B22" s="4" t="n"/>
      <c r="C22" s="4" t="inlineStr">
        <is>
          <t>計</t>
        </is>
      </c>
      <c r="D22" s="5">
        <f>SUM(D20:D21)</f>
        <v/>
      </c>
      <c r="E22" s="5">
        <f>SUM(E20:E21)</f>
        <v/>
      </c>
      <c r="F22" s="5">
        <f>SUM(F20:F21)</f>
        <v/>
      </c>
      <c r="G22" s="5">
        <f>SUM(G20:G21)</f>
        <v/>
      </c>
      <c r="H22" s="5">
        <f>SUM(H20:H21)</f>
        <v/>
      </c>
      <c r="I22" s="5">
        <f>SUM(I20:I21)</f>
        <v/>
      </c>
      <c r="J22" s="5">
        <f>SUM(J20:J21)</f>
        <v/>
      </c>
      <c r="K22" s="5">
        <f>SUM(K20:K21)</f>
        <v/>
      </c>
      <c r="L22" s="5">
        <f>SUM(L20:L21)</f>
        <v/>
      </c>
      <c r="M22" s="5">
        <f>SUM(M20:M21)</f>
        <v/>
      </c>
      <c r="N22" s="5">
        <f>SUM(N20:N21)</f>
        <v/>
      </c>
      <c r="O22" s="5">
        <f>SUM(O20:O21)</f>
        <v/>
      </c>
      <c r="P22" s="5">
        <f>SUM(D22:O22)</f>
        <v/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1</v>
      </c>
      <c r="F23" s="3" t="n">
        <v>0</v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</v>
      </c>
      <c r="N23" s="3" t="n">
        <v>0</v>
      </c>
      <c r="O23" s="3" t="n">
        <v>2</v>
      </c>
      <c r="P23" s="3">
        <f>SUM(D23:O23)</f>
        <v/>
      </c>
    </row>
    <row r="24">
      <c r="A24" s="4" t="n"/>
      <c r="B24" s="4" t="inlineStr">
        <is>
          <t>計</t>
        </is>
      </c>
      <c r="C24" s="4" t="n"/>
      <c r="D24" s="5">
        <f>D22+D23</f>
        <v/>
      </c>
      <c r="E24" s="5">
        <f>E22+E23</f>
        <v/>
      </c>
      <c r="F24" s="5">
        <f>F22+F23</f>
        <v/>
      </c>
      <c r="G24" s="5">
        <f>G22+G23</f>
        <v/>
      </c>
      <c r="H24" s="5">
        <f>H22+H23</f>
        <v/>
      </c>
      <c r="I24" s="5">
        <f>I22+I23</f>
        <v/>
      </c>
      <c r="J24" s="5">
        <f>J22+J23</f>
        <v/>
      </c>
      <c r="K24" s="5">
        <f>K22+K23</f>
        <v/>
      </c>
      <c r="L24" s="5">
        <f>L22+L23</f>
        <v/>
      </c>
      <c r="M24" s="5">
        <f>M22+M23</f>
        <v/>
      </c>
      <c r="N24" s="5">
        <f>N22+N23</f>
        <v/>
      </c>
      <c r="O24" s="5">
        <f>O22+O23</f>
        <v/>
      </c>
      <c r="P24" s="5">
        <f>SUM(D24:O24)</f>
        <v/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713</v>
      </c>
      <c r="E25" s="3" t="n">
        <v>559</v>
      </c>
      <c r="F25" s="3" t="n">
        <v>536</v>
      </c>
      <c r="G25" s="3" t="n">
        <v>601</v>
      </c>
      <c r="H25" s="3" t="n">
        <v>569</v>
      </c>
      <c r="I25" s="3" t="n">
        <v>725</v>
      </c>
      <c r="J25" s="3" t="n">
        <v>769</v>
      </c>
      <c r="K25" s="3" t="n">
        <v>594</v>
      </c>
      <c r="L25" s="3" t="n">
        <v>626</v>
      </c>
      <c r="M25" s="3" t="n">
        <v>741</v>
      </c>
      <c r="N25" s="3" t="n">
        <v>558</v>
      </c>
      <c r="O25" s="3" t="n">
        <v>818</v>
      </c>
      <c r="P25" s="3">
        <f>SUM(D25:O25)</f>
        <v/>
      </c>
    </row>
    <row r="26">
      <c r="A26" s="2" t="n"/>
      <c r="B26" s="2" t="n"/>
      <c r="C26" s="2" t="inlineStr">
        <is>
          <t>住宅用</t>
        </is>
      </c>
      <c r="D26" s="3" t="n">
        <v>416</v>
      </c>
      <c r="E26" s="3" t="n">
        <v>384</v>
      </c>
      <c r="F26" s="3" t="n">
        <v>378</v>
      </c>
      <c r="G26" s="3" t="n">
        <v>354</v>
      </c>
      <c r="H26" s="3" t="n">
        <v>373</v>
      </c>
      <c r="I26" s="3" t="n">
        <v>386</v>
      </c>
      <c r="J26" s="3" t="n">
        <v>376</v>
      </c>
      <c r="K26" s="3" t="n">
        <v>338</v>
      </c>
      <c r="L26" s="3" t="n">
        <v>358</v>
      </c>
      <c r="M26" s="3" t="n">
        <v>431</v>
      </c>
      <c r="N26" s="3" t="n">
        <v>436</v>
      </c>
      <c r="O26" s="3" t="n">
        <v>492</v>
      </c>
      <c r="P26" s="3">
        <f>SUM(D26:O26)</f>
        <v/>
      </c>
    </row>
    <row r="27">
      <c r="A27" s="4" t="n"/>
      <c r="B27" s="4" t="n"/>
      <c r="C27" s="4" t="inlineStr">
        <is>
          <t>計</t>
        </is>
      </c>
      <c r="D27" s="5">
        <f>SUM(D25:D26)</f>
        <v/>
      </c>
      <c r="E27" s="5">
        <f>SUM(E25:E26)</f>
        <v/>
      </c>
      <c r="F27" s="5">
        <f>SUM(F25:F26)</f>
        <v/>
      </c>
      <c r="G27" s="5">
        <f>SUM(G25:G26)</f>
        <v/>
      </c>
      <c r="H27" s="5">
        <f>SUM(H25:H26)</f>
        <v/>
      </c>
      <c r="I27" s="5">
        <f>SUM(I25:I26)</f>
        <v/>
      </c>
      <c r="J27" s="5">
        <f>SUM(J25:J26)</f>
        <v/>
      </c>
      <c r="K27" s="5">
        <f>SUM(K25:K26)</f>
        <v/>
      </c>
      <c r="L27" s="5">
        <f>SUM(L25:L26)</f>
        <v/>
      </c>
      <c r="M27" s="5">
        <f>SUM(M25:M26)</f>
        <v/>
      </c>
      <c r="N27" s="5">
        <f>SUM(N25:N26)</f>
        <v/>
      </c>
      <c r="O27" s="5">
        <f>SUM(O25:O26)</f>
        <v/>
      </c>
      <c r="P27" s="5">
        <f>SUM(D27:O27)</f>
        <v/>
      </c>
    </row>
    <row r="28">
      <c r="A28" s="2" t="n"/>
      <c r="B28" s="2" t="inlineStr">
        <is>
          <t>学校向け</t>
        </is>
      </c>
      <c r="C28" s="2" t="n"/>
      <c r="D28" s="3" t="n">
        <v>2</v>
      </c>
      <c r="E28" s="3" t="n">
        <v>1</v>
      </c>
      <c r="F28" s="3" t="n">
        <v>1</v>
      </c>
      <c r="G28" s="3" t="n">
        <v>2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21</v>
      </c>
      <c r="N28" s="3" t="n">
        <v>0</v>
      </c>
      <c r="O28" s="3" t="n">
        <v>3</v>
      </c>
      <c r="P28" s="3">
        <f>SUM(D28:O28)</f>
        <v/>
      </c>
    </row>
    <row r="29">
      <c r="A29" s="4" t="n"/>
      <c r="B29" s="4" t="inlineStr">
        <is>
          <t>計</t>
        </is>
      </c>
      <c r="C29" s="4" t="n"/>
      <c r="D29" s="5">
        <f>D27+D28</f>
        <v/>
      </c>
      <c r="E29" s="5">
        <f>E27+E28</f>
        <v/>
      </c>
      <c r="F29" s="5">
        <f>F27+F28</f>
        <v/>
      </c>
      <c r="G29" s="5">
        <f>G27+G28</f>
        <v/>
      </c>
      <c r="H29" s="5">
        <f>H27+H28</f>
        <v/>
      </c>
      <c r="I29" s="5">
        <f>I27+I28</f>
        <v/>
      </c>
      <c r="J29" s="5">
        <f>J27+J28</f>
        <v/>
      </c>
      <c r="K29" s="5">
        <f>K27+K28</f>
        <v/>
      </c>
      <c r="L29" s="5">
        <f>L27+L28</f>
        <v/>
      </c>
      <c r="M29" s="5">
        <f>M27+M28</f>
        <v/>
      </c>
      <c r="N29" s="5">
        <f>N27+N28</f>
        <v/>
      </c>
      <c r="O29" s="5">
        <f>O27+O28</f>
        <v/>
      </c>
      <c r="P29" s="5">
        <f>SUM(D29:O29)</f>
        <v/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>
        <f>D20-D25</f>
        <v/>
      </c>
      <c r="E30" s="3">
        <f>E20-E25</f>
        <v/>
      </c>
      <c r="F30" s="3">
        <f>F20-F25</f>
        <v/>
      </c>
      <c r="G30" s="3">
        <f>G20-G25</f>
        <v/>
      </c>
      <c r="H30" s="3">
        <f>H20-H25</f>
        <v/>
      </c>
      <c r="I30" s="3">
        <f>I20-I25</f>
        <v/>
      </c>
      <c r="J30" s="3">
        <f>J20-J25</f>
        <v/>
      </c>
      <c r="K30" s="3">
        <f>K20-K25</f>
        <v/>
      </c>
      <c r="L30" s="3">
        <f>L20-L25</f>
        <v/>
      </c>
      <c r="M30" s="3">
        <f>M20-M25</f>
        <v/>
      </c>
      <c r="N30" s="3">
        <f>N20-N25</f>
        <v/>
      </c>
      <c r="O30" s="3">
        <f>O20-O25</f>
        <v/>
      </c>
      <c r="P30" s="3">
        <f>SUM(D30:O30)</f>
        <v/>
      </c>
    </row>
    <row r="31">
      <c r="A31" s="2" t="n"/>
      <c r="B31" s="2" t="n"/>
      <c r="C31" s="2" t="inlineStr">
        <is>
          <t>住宅用</t>
        </is>
      </c>
      <c r="D31" s="3">
        <f>D21-D26</f>
        <v/>
      </c>
      <c r="E31" s="3">
        <f>E21-E26</f>
        <v/>
      </c>
      <c r="F31" s="3">
        <f>F21-F26</f>
        <v/>
      </c>
      <c r="G31" s="3">
        <f>G21-G26</f>
        <v/>
      </c>
      <c r="H31" s="3">
        <f>H21-H26</f>
        <v/>
      </c>
      <c r="I31" s="3">
        <f>I21-I26</f>
        <v/>
      </c>
      <c r="J31" s="3">
        <f>J21-J26</f>
        <v/>
      </c>
      <c r="K31" s="3">
        <f>K21-K26</f>
        <v/>
      </c>
      <c r="L31" s="3">
        <f>L21-L26</f>
        <v/>
      </c>
      <c r="M31" s="3">
        <f>M21-M26</f>
        <v/>
      </c>
      <c r="N31" s="3">
        <f>N21-N26</f>
        <v/>
      </c>
      <c r="O31" s="3">
        <f>O21-O26</f>
        <v/>
      </c>
      <c r="P31" s="3">
        <f>SUM(D31:O31)</f>
        <v/>
      </c>
    </row>
    <row r="32">
      <c r="A32" s="4" t="n"/>
      <c r="B32" s="4" t="n"/>
      <c r="C32" s="4" t="inlineStr">
        <is>
          <t>計</t>
        </is>
      </c>
      <c r="D32" s="5">
        <f>SUM(D30:D31)</f>
        <v/>
      </c>
      <c r="E32" s="5">
        <f>SUM(E30:E31)</f>
        <v/>
      </c>
      <c r="F32" s="5">
        <f>SUM(F30:F31)</f>
        <v/>
      </c>
      <c r="G32" s="5">
        <f>SUM(G30:G31)</f>
        <v/>
      </c>
      <c r="H32" s="5">
        <f>SUM(H30:H31)</f>
        <v/>
      </c>
      <c r="I32" s="5">
        <f>SUM(I30:I31)</f>
        <v/>
      </c>
      <c r="J32" s="5">
        <f>SUM(J30:J31)</f>
        <v/>
      </c>
      <c r="K32" s="5">
        <f>SUM(K30:K31)</f>
        <v/>
      </c>
      <c r="L32" s="5">
        <f>SUM(L30:L31)</f>
        <v/>
      </c>
      <c r="M32" s="5">
        <f>SUM(M30:M31)</f>
        <v/>
      </c>
      <c r="N32" s="5">
        <f>SUM(N30:N31)</f>
        <v/>
      </c>
      <c r="O32" s="5">
        <f>SUM(O30:O31)</f>
        <v/>
      </c>
      <c r="P32" s="5">
        <f>SUM(D32:O32)</f>
        <v/>
      </c>
    </row>
    <row r="33">
      <c r="A33" s="2" t="n"/>
      <c r="B33" s="2" t="inlineStr">
        <is>
          <t>学校向け</t>
        </is>
      </c>
      <c r="C33" s="2" t="n"/>
      <c r="D33" s="3">
        <f>D23-D28</f>
        <v/>
      </c>
      <c r="E33" s="3">
        <f>E23-E28</f>
        <v/>
      </c>
      <c r="F33" s="3">
        <f>F23-F28</f>
        <v/>
      </c>
      <c r="G33" s="3">
        <f>G23-G28</f>
        <v/>
      </c>
      <c r="H33" s="3">
        <f>H23-H28</f>
        <v/>
      </c>
      <c r="I33" s="3">
        <f>I23-I28</f>
        <v/>
      </c>
      <c r="J33" s="3">
        <f>J23-J28</f>
        <v/>
      </c>
      <c r="K33" s="3">
        <f>K23-K28</f>
        <v/>
      </c>
      <c r="L33" s="3">
        <f>L23-L28</f>
        <v/>
      </c>
      <c r="M33" s="3">
        <f>M23-M28</f>
        <v/>
      </c>
      <c r="N33" s="3">
        <f>N23-N28</f>
        <v/>
      </c>
      <c r="O33" s="3">
        <f>O23-O28</f>
        <v/>
      </c>
      <c r="P33" s="3">
        <f>SUM(D33:O33)</f>
        <v/>
      </c>
    </row>
    <row r="34">
      <c r="A34" s="4" t="n"/>
      <c r="B34" s="4" t="inlineStr">
        <is>
          <t>計</t>
        </is>
      </c>
      <c r="C34" s="4" t="n"/>
      <c r="D34" s="5">
        <f>D32+D33</f>
        <v/>
      </c>
      <c r="E34" s="5">
        <f>E32+E33</f>
        <v/>
      </c>
      <c r="F34" s="5">
        <f>F32+F33</f>
        <v/>
      </c>
      <c r="G34" s="5">
        <f>G32+G33</f>
        <v/>
      </c>
      <c r="H34" s="5">
        <f>H32+H33</f>
        <v/>
      </c>
      <c r="I34" s="5">
        <f>I32+I33</f>
        <v/>
      </c>
      <c r="J34" s="5">
        <f>J32+J33</f>
        <v/>
      </c>
      <c r="K34" s="5">
        <f>K32+K33</f>
        <v/>
      </c>
      <c r="L34" s="5">
        <f>L32+L33</f>
        <v/>
      </c>
      <c r="M34" s="5">
        <f>M32+M33</f>
        <v/>
      </c>
      <c r="N34" s="5">
        <f>N32+N33</f>
        <v/>
      </c>
      <c r="O34" s="5">
        <f>O32+O33</f>
        <v/>
      </c>
      <c r="P34" s="5">
        <f>SUM(D34:O34)</f>
        <v/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56633</v>
      </c>
      <c r="E35" s="3" t="n">
        <v>56588</v>
      </c>
      <c r="F35" s="3" t="n">
        <v>56571</v>
      </c>
      <c r="G35" s="3" t="n">
        <v>56495</v>
      </c>
      <c r="H35" s="3" t="n">
        <v>56416</v>
      </c>
      <c r="I35" s="3" t="n">
        <v>56240</v>
      </c>
      <c r="J35" s="3" t="n">
        <v>56066</v>
      </c>
      <c r="K35" s="3" t="n">
        <v>55972</v>
      </c>
      <c r="L35" s="3" t="n">
        <v>55897</v>
      </c>
      <c r="M35" s="3" t="n">
        <v>55605</v>
      </c>
      <c r="N35" s="3" t="n">
        <v>55568</v>
      </c>
      <c r="O35" s="3" t="n">
        <v>55433</v>
      </c>
      <c r="P35" s="3">
        <f>O35</f>
        <v/>
      </c>
    </row>
    <row r="36">
      <c r="A36" s="2" t="n"/>
      <c r="B36" s="2" t="n"/>
      <c r="C36" s="2" t="inlineStr">
        <is>
          <t>住宅用</t>
        </is>
      </c>
      <c r="D36" s="3" t="n">
        <v>40363</v>
      </c>
      <c r="E36" s="3" t="n">
        <v>40026</v>
      </c>
      <c r="F36" s="3" t="n">
        <v>39709</v>
      </c>
      <c r="G36" s="3" t="n">
        <v>39403</v>
      </c>
      <c r="H36" s="3" t="n">
        <v>39071</v>
      </c>
      <c r="I36" s="3" t="n">
        <v>38738</v>
      </c>
      <c r="J36" s="3" t="n">
        <v>38389</v>
      </c>
      <c r="K36" s="3" t="n">
        <v>38097</v>
      </c>
      <c r="L36" s="3" t="n">
        <v>37760</v>
      </c>
      <c r="M36" s="3" t="n">
        <v>37368</v>
      </c>
      <c r="N36" s="3" t="n">
        <v>36966</v>
      </c>
      <c r="O36" s="3" t="n">
        <v>36521</v>
      </c>
      <c r="P36" s="3">
        <f>O36</f>
        <v/>
      </c>
    </row>
    <row r="37">
      <c r="A37" s="4" t="n"/>
      <c r="B37" s="4" t="n"/>
      <c r="C37" s="4" t="inlineStr">
        <is>
          <t>計</t>
        </is>
      </c>
      <c r="D37" s="5">
        <f>SUM(D35:D36)</f>
        <v/>
      </c>
      <c r="E37" s="5">
        <f>SUM(E35:E36)</f>
        <v/>
      </c>
      <c r="F37" s="5">
        <f>SUM(F35:F36)</f>
        <v/>
      </c>
      <c r="G37" s="5">
        <f>SUM(G35:G36)</f>
        <v/>
      </c>
      <c r="H37" s="5">
        <f>SUM(H35:H36)</f>
        <v/>
      </c>
      <c r="I37" s="5">
        <f>SUM(I35:I36)</f>
        <v/>
      </c>
      <c r="J37" s="5">
        <f>SUM(J35:J36)</f>
        <v/>
      </c>
      <c r="K37" s="5">
        <f>SUM(K35:K36)</f>
        <v/>
      </c>
      <c r="L37" s="5">
        <f>SUM(L35:L36)</f>
        <v/>
      </c>
      <c r="M37" s="5">
        <f>SUM(M35:M36)</f>
        <v/>
      </c>
      <c r="N37" s="5">
        <f>SUM(N35:N36)</f>
        <v/>
      </c>
      <c r="O37" s="5">
        <f>SUM(O35:O36)</f>
        <v/>
      </c>
      <c r="P37" s="5">
        <f>O37</f>
        <v/>
      </c>
    </row>
    <row r="38">
      <c r="A38" s="2" t="n"/>
      <c r="B38" s="2" t="inlineStr">
        <is>
          <t>学校向け</t>
        </is>
      </c>
      <c r="C38" s="2" t="n"/>
      <c r="D38" s="3" t="n">
        <v>364</v>
      </c>
      <c r="E38" s="3" t="n">
        <v>364</v>
      </c>
      <c r="F38" s="3" t="n">
        <v>363</v>
      </c>
      <c r="G38" s="3" t="n">
        <v>360</v>
      </c>
      <c r="H38" s="3" t="n">
        <v>360</v>
      </c>
      <c r="I38" s="3" t="n">
        <v>359</v>
      </c>
      <c r="J38" s="3" t="n">
        <v>359</v>
      </c>
      <c r="K38" s="3" t="n">
        <v>359</v>
      </c>
      <c r="L38" s="3" t="n">
        <v>359</v>
      </c>
      <c r="M38" s="3" t="n">
        <v>339</v>
      </c>
      <c r="N38" s="3" t="n">
        <v>339</v>
      </c>
      <c r="O38" s="3" t="n">
        <v>338</v>
      </c>
      <c r="P38" s="3">
        <f>O38</f>
        <v/>
      </c>
    </row>
    <row r="39">
      <c r="A39" s="4" t="n"/>
      <c r="B39" s="4" t="inlineStr">
        <is>
          <t>計</t>
        </is>
      </c>
      <c r="C39" s="4" t="n"/>
      <c r="D39" s="5">
        <f>D37+D38</f>
        <v/>
      </c>
      <c r="E39" s="5">
        <f>E37+E38</f>
        <v/>
      </c>
      <c r="F39" s="5">
        <f>F37+F38</f>
        <v/>
      </c>
      <c r="G39" s="5">
        <f>G37+G38</f>
        <v/>
      </c>
      <c r="H39" s="5">
        <f>H37+H38</f>
        <v/>
      </c>
      <c r="I39" s="5">
        <f>I37+I38</f>
        <v/>
      </c>
      <c r="J39" s="5">
        <f>J37+J38</f>
        <v/>
      </c>
      <c r="K39" s="5">
        <f>K37+K38</f>
        <v/>
      </c>
      <c r="L39" s="5">
        <f>L37+L38</f>
        <v/>
      </c>
      <c r="M39" s="5">
        <f>M37+M38</f>
        <v/>
      </c>
      <c r="N39" s="5">
        <f>N37+N38</f>
        <v/>
      </c>
      <c r="O39" s="5">
        <f>O37+O38</f>
        <v/>
      </c>
      <c r="P39" s="5">
        <f>O39</f>
        <v/>
      </c>
    </row>
  </sheetData>
  <mergeCells count="28">
    <mergeCell ref="A5:A9"/>
    <mergeCell ref="B30:B32"/>
    <mergeCell ref="B15:B17"/>
    <mergeCell ref="A20:A24"/>
    <mergeCell ref="B18:C18"/>
    <mergeCell ref="B5:B7"/>
    <mergeCell ref="B39:C39"/>
    <mergeCell ref="B35:B37"/>
    <mergeCell ref="A35:A39"/>
    <mergeCell ref="B20:B22"/>
    <mergeCell ref="B23:C23"/>
    <mergeCell ref="A10:A14"/>
    <mergeCell ref="B14:C14"/>
    <mergeCell ref="B25:B27"/>
    <mergeCell ref="B8:C8"/>
    <mergeCell ref="B13:C13"/>
    <mergeCell ref="B38:C38"/>
    <mergeCell ref="B29:C29"/>
    <mergeCell ref="A30:A34"/>
    <mergeCell ref="A15:A19"/>
    <mergeCell ref="B19:C19"/>
    <mergeCell ref="B34:C34"/>
    <mergeCell ref="B28:C28"/>
    <mergeCell ref="B9:C9"/>
    <mergeCell ref="B24:C24"/>
    <mergeCell ref="B33:C33"/>
    <mergeCell ref="B10:B12"/>
    <mergeCell ref="A25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2026-06-16T05:13:56Z</dcterms:created>
  <dcterms:modified xmlns:dcterms="http://purl.org/dc/terms/" xmlns:xsi="http://www.w3.org/2001/XMLSchema-instance" xsi:type="dcterms:W3CDTF">2026-06-16T05:13:57Z</dcterms:modified>
</cp:coreProperties>
</file>